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Problem List" sheetId="1" r:id="rId5"/>
    <sheet state="visible" name="📅 Day Plan" sheetId="2" r:id="rId6"/>
    <sheet state="visible" name="📊 Dashboard" sheetId="3" r:id="rId7"/>
    <sheet state="visible" name="🧩 Templates" sheetId="4" r:id="rId8"/>
    <sheet state="visible" name="📝 Interview Notes" sheetId="5" r:id="rId9"/>
  </sheets>
  <definedNames/>
  <calcPr/>
</workbook>
</file>

<file path=xl/sharedStrings.xml><?xml version="1.0" encoding="utf-8"?>
<sst xmlns="http://schemas.openxmlformats.org/spreadsheetml/2006/main" count="588" uniqueCount="232">
  <si>
    <t>🎯  DSA Tracker — Two Pointers | Sliding Window | Prefix Sum  |  SDE-2 Interview Prep</t>
  </si>
  <si>
    <t>#</t>
  </si>
  <si>
    <t>Problem Name</t>
  </si>
  <si>
    <t>LC #</t>
  </si>
  <si>
    <t>Topic</t>
  </si>
  <si>
    <t>Sub-topic</t>
  </si>
  <si>
    <t>Difficulty</t>
  </si>
  <si>
    <t>Day</t>
  </si>
  <si>
    <t>Status</t>
  </si>
  <si>
    <t>Time (min)</t>
  </si>
  <si>
    <t>Notes / Pattern Key</t>
  </si>
  <si>
    <t>Link</t>
  </si>
  <si>
    <t>Review?</t>
  </si>
  <si>
    <t>Valid Palindrome</t>
  </si>
  <si>
    <t>125</t>
  </si>
  <si>
    <t>Two Pointers</t>
  </si>
  <si>
    <t>Basics</t>
  </si>
  <si>
    <t>Easy</t>
  </si>
  <si>
    <t>Done</t>
  </si>
  <si>
    <t>No</t>
  </si>
  <si>
    <t>Reverse String</t>
  </si>
  <si>
    <t>344</t>
  </si>
  <si>
    <t>Two Sum II – Sorted Array</t>
  </si>
  <si>
    <t>167</t>
  </si>
  <si>
    <t>Medium</t>
  </si>
  <si>
    <t>Remove Duplicates from Sorted Array</t>
  </si>
  <si>
    <t>26</t>
  </si>
  <si>
    <t>Same Direction</t>
  </si>
  <si>
    <t>Move Zeroes</t>
  </si>
  <si>
    <t>283</t>
  </si>
  <si>
    <t>Container With Most Water</t>
  </si>
  <si>
    <t>11</t>
  </si>
  <si>
    <t>Opposite Ends</t>
  </si>
  <si>
    <t>To Do</t>
  </si>
  <si>
    <t>Linked List Cycle</t>
  </si>
  <si>
    <t>141</t>
  </si>
  <si>
    <t>Fast &amp; Slow</t>
  </si>
  <si>
    <t>3Sum</t>
  </si>
  <si>
    <t>15</t>
  </si>
  <si>
    <t>Sort Colors (Dutch Flag)</t>
  </si>
  <si>
    <t>75</t>
  </si>
  <si>
    <t>3-Way Partition</t>
  </si>
  <si>
    <t>Boats to Save People</t>
  </si>
  <si>
    <t>881</t>
  </si>
  <si>
    <t>4Sum</t>
  </si>
  <si>
    <t>18</t>
  </si>
  <si>
    <t>Trapping Rain Water</t>
  </si>
  <si>
    <t>42</t>
  </si>
  <si>
    <t>Hard Classic</t>
  </si>
  <si>
    <t>Hard</t>
  </si>
  <si>
    <t>Partition Labels</t>
  </si>
  <si>
    <t>763</t>
  </si>
  <si>
    <t>Greedy + TP</t>
  </si>
  <si>
    <t>Squares of a Sorted Array</t>
  </si>
  <si>
    <t>977</t>
  </si>
  <si>
    <t>Running Sum of 1D Array</t>
  </si>
  <si>
    <t>1480</t>
  </si>
  <si>
    <t>Prefix Sum</t>
  </si>
  <si>
    <t>Find Pivot Index</t>
  </si>
  <si>
    <t>724</t>
  </si>
  <si>
    <t>Range Sum Query – Immutable</t>
  </si>
  <si>
    <t>303</t>
  </si>
  <si>
    <t>Product of Array Except Self</t>
  </si>
  <si>
    <t>238</t>
  </si>
  <si>
    <t>Prefix+Suffix</t>
  </si>
  <si>
    <t>Subarray Sum Equals K</t>
  </si>
  <si>
    <t>560</t>
  </si>
  <si>
    <t>HashMap</t>
  </si>
  <si>
    <t>Continuous Subarray Sum</t>
  </si>
  <si>
    <t>523</t>
  </si>
  <si>
    <t>HashMap + Mod</t>
  </si>
  <si>
    <t>Subarray Sums Divisible by K</t>
  </si>
  <si>
    <t>974</t>
  </si>
  <si>
    <t>Longest Subarray With Sum K</t>
  </si>
  <si>
    <t>GFG</t>
  </si>
  <si>
    <t>Matrix Block Sum</t>
  </si>
  <si>
    <t>1314</t>
  </si>
  <si>
    <t>2D Prefix</t>
  </si>
  <si>
    <t>Range Addition</t>
  </si>
  <si>
    <t>370</t>
  </si>
  <si>
    <t>Difference Array</t>
  </si>
  <si>
    <t>Max Sum Subarray of Size K</t>
  </si>
  <si>
    <t>Sliding Window</t>
  </si>
  <si>
    <t>Fixed</t>
  </si>
  <si>
    <t>First Negative in Every Window</t>
  </si>
  <si>
    <t>Maximum Average Subarray I</t>
  </si>
  <si>
    <t>643</t>
  </si>
  <si>
    <t>Longest Substring Without Repeating</t>
  </si>
  <si>
    <t>3</t>
  </si>
  <si>
    <t>Dynamic</t>
  </si>
  <si>
    <t>Minimum Size Subarray Sum</t>
  </si>
  <si>
    <t>209</t>
  </si>
  <si>
    <t>Fruit Into Baskets</t>
  </si>
  <si>
    <t>904</t>
  </si>
  <si>
    <t>Permutation in String</t>
  </si>
  <si>
    <t>567</t>
  </si>
  <si>
    <t>Freq Map Fixed</t>
  </si>
  <si>
    <t>Find All Anagrams in a String</t>
  </si>
  <si>
    <t>438</t>
  </si>
  <si>
    <t>Longest Substring At Most K Distinct</t>
  </si>
  <si>
    <t>340</t>
  </si>
  <si>
    <t>Freq Map Dyn</t>
  </si>
  <si>
    <t>Longest Repeating Char Replacement</t>
  </si>
  <si>
    <t>424</t>
  </si>
  <si>
    <t>Max Consecutive Ones III</t>
  </si>
  <si>
    <t>1004</t>
  </si>
  <si>
    <t>Minimum Window Substring</t>
  </si>
  <si>
    <t>76</t>
  </si>
  <si>
    <t>Sliding Window Maximum</t>
  </si>
  <si>
    <t>239</t>
  </si>
  <si>
    <t>Deque</t>
  </si>
  <si>
    <t>📅  7-Day Study Plan  +  2 Buffer Days  |  ~4-5 Problems/Day  |  Total: 37 Problems</t>
  </si>
  <si>
    <t>Focus / Tip</t>
  </si>
  <si>
    <t>Src</t>
  </si>
  <si>
    <t>✅</t>
  </si>
  <si>
    <t>Problem (click to open)</t>
  </si>
  <si>
    <t>Est. Time</t>
  </si>
  <si>
    <t>DAY
1</t>
  </si>
  <si>
    <t>Two Pointers — Basics
💡 Build left-right intuition. Nail same-direction pointer for in-place ops.</t>
  </si>
  <si>
    <t>LC</t>
  </si>
  <si>
    <t>15–20 min</t>
  </si>
  <si>
    <t>25–35 min</t>
  </si>
  <si>
    <t>DAY
2</t>
  </si>
  <si>
    <t>Two Pointers — Classic Medium
💡 3Sum is the most repeated interview problem. Master skip-duplicates logic.</t>
  </si>
  <si>
    <t>☐</t>
  </si>
  <si>
    <t>DAY
3</t>
  </si>
  <si>
    <t>Two Pointers — Hard + Greedy
💡 Trapping Rain Water = #1 Google/Meta problem. Understand two-wall logic.</t>
  </si>
  <si>
    <t>40–55 min</t>
  </si>
  <si>
    <t>DAY
4</t>
  </si>
  <si>
    <t>Prefix Sum — Basics + Tricks
💡 Product of Array Except Self is a killer trick — must know for top MNCs.</t>
  </si>
  <si>
    <t>DAY
5</t>
  </si>
  <si>
    <t>Prefix Sum — HashMap &amp; 2D
💡 Prefix+mod trick covers 3+ common interview problems. Difference array too.</t>
  </si>
  <si>
    <t>DAY
6</t>
  </si>
  <si>
    <t>Sliding Window — Fixed + Dynamic
💡 Master shrink/expand pattern. Fruit Into Baskets = at most K distinct keys.</t>
  </si>
  <si>
    <t>DAY
7</t>
  </si>
  <si>
    <t>Sliding Window — Freq Map + Hard
💡 Anagram pattern + deque for max window. Minimum Window Substring = top 10 interview.</t>
  </si>
  <si>
    <t xml:space="preserve">  📅  🗓️ Buffer Day 1 — Revision   —   Re-attempt all 'Need Review' problems. Target: no hints, within 30 min each.</t>
  </si>
  <si>
    <t xml:space="preserve">  📅  🗓️ Buffer Day 2 — Mock Interview   —   Pick 3 random problems. Time yourself: 25 min each. Then review approach.</t>
  </si>
  <si>
    <t>📊  Progress Dashboard — Update Status in '📋 Problem List' and this auto-refreshes</t>
  </si>
  <si>
    <t xml:space="preserve">  📈  Overall Progress</t>
  </si>
  <si>
    <t>Total Problems</t>
  </si>
  <si>
    <t>✅ Done</t>
  </si>
  <si>
    <t>🔄 In Progress</t>
  </si>
  <si>
    <t>🔁 Need Review</t>
  </si>
  <si>
    <t>📌 To Do</t>
  </si>
  <si>
    <t>🎯 Completion %</t>
  </si>
  <si>
    <t xml:space="preserve">  🎯  Difficulty Breakdown</t>
  </si>
  <si>
    <t>Total</t>
  </si>
  <si>
    <t>% Done</t>
  </si>
  <si>
    <t>🟢 Easy</t>
  </si>
  <si>
    <t>🟡 Medium</t>
  </si>
  <si>
    <t>🔴 Hard</t>
  </si>
  <si>
    <t xml:space="preserve">  📚  Topic Breakdown</t>
  </si>
  <si>
    <t>👆 Two Pointers</t>
  </si>
  <si>
    <t>➕ Prefix Sum</t>
  </si>
  <si>
    <t>🪟 Sliding Window</t>
  </si>
  <si>
    <t xml:space="preserve">  📅  Day-wise Progress</t>
  </si>
  <si>
    <t>Focus</t>
  </si>
  <si>
    <t>Day 1</t>
  </si>
  <si>
    <t>TP Basics</t>
  </si>
  <si>
    <t>Day 2</t>
  </si>
  <si>
    <t>TP Classic</t>
  </si>
  <si>
    <t>Day 3</t>
  </si>
  <si>
    <t>TP Hard</t>
  </si>
  <si>
    <t>Day 4</t>
  </si>
  <si>
    <t>Prefix Basics</t>
  </si>
  <si>
    <t>Day 5</t>
  </si>
  <si>
    <t>Prefix Advanced</t>
  </si>
  <si>
    <t>Day 6</t>
  </si>
  <si>
    <t>SW Fixed+Dynamic</t>
  </si>
  <si>
    <t>Day 7</t>
  </si>
  <si>
    <t>SW Hard</t>
  </si>
  <si>
    <t>🧩  Code Templates &amp; Patterns — Python  |  Two Pointers · Sliding Window · Prefix Sum</t>
  </si>
  <si>
    <t xml:space="preserve">  👆  TWO POINTERS — Opposite Ends (Sorted Array)</t>
  </si>
  <si>
    <t>def two_pointer_opposite(arr, target):
    left, right = 0, len(arr) - 1
    result = []
    while left &lt; right:
        s = arr[left] + arr[right]
        if s == target:
            result.append((arr[left], arr[right]))
            left  += 1;  right -= 1
            # skip duplicates
            while left &lt; right and arr[left]  == arr[left-1]:  left  += 1
            while left &lt; right and arr[right] == arr[right+1]: right -= 1
        elif s &lt; target:
            left  += 1
        else:
            right -= 1
    return result</t>
  </si>
  <si>
    <t>WHEN: sorted array, find pairs/triplets summing to target
PROBLEMS: Two Sum II (167), 3Sum (15), 4Sum (18), Container With Most Water (11)
TIME: O(n log n) sort + O(n²) scan    SPACE: O(1)</t>
  </si>
  <si>
    <t xml:space="preserve">  👆  TWO POINTERS — Same Direction (Write Pointer)</t>
  </si>
  <si>
    <t>def remove_in_place(arr, condition):
    write = 0                   # write-pointer: next valid position
    for read in range(len(arr)):
        if condition(arr[read]):  # keep this element
            arr[write] = arr[read]
            write += 1
    return write                # new logical length</t>
  </si>
  <si>
    <t>WHEN: remove/filter elements in-place from array
PROBLEMS: Remove Duplicates (26), Move Zeroes (283), Remove Element (27)
TIME: O(n)    SPACE: O(1)</t>
  </si>
  <si>
    <t xml:space="preserve">  👆  TWO POINTERS — Fast &amp; Slow (Floyd's Cycle)</t>
  </si>
  <si>
    <t>def has_cycle(head):
    slow = fast = head
    while fast and fast.next:
        slow = slow.next
        fast = fast.next.next
        if slow == fast:
            return True     # cycle detected
    return False
# --- Find cycle start ---
def cycle_start(head):
    slow = fast = head
    while fast and fast.next:
        slow = slow.next;  fast = fast.next.next
        if slow == fast:
            slow = head     # reset one pointer to head
            while slow != fast:
                slow = slow.next;  fast = fast.next
            return slow     # meeting point = cycle start
    return None</t>
  </si>
  <si>
    <t>WHEN: cycle detection in Linked List, find middle of list
PROBLEMS: Linked List Cycle (141), Cycle Start (142), Middle of LL (876)
TIME: O(n)    SPACE: O(1)</t>
  </si>
  <si>
    <t xml:space="preserve">  🪟  SLIDING WINDOW — Fixed Size k</t>
  </si>
  <si>
    <t>def fixed_window(arr, k):
    if len(arr) &lt; k:
        return 0
    # Build initial window
    window = sum(arr[:k])
    best   = window
    # Slide: add right element, drop left element
    for right in range(k, len(arr)):
        window += arr[right] - arr[right - k]
        best    = max(best, window)      # or min / append to list
    return best</t>
  </si>
  <si>
    <t>WHEN: fixed window size k, aggregate (sum/count/max)
PROBLEMS: Max Sum Subarray Size K, Maximum Average Subarray I (643)
TIME: O(n)    SPACE: O(1)</t>
  </si>
  <si>
    <t xml:space="preserve">  🪟  SLIDING WINDOW — Dynamic (Expand &amp; Contract)</t>
  </si>
  <si>
    <t>def dynamic_window(s):
    from collections import defaultdict
    freq  = defaultdict(int)
    left  = 0
    best  = 0
    for right in range(len(s)):
        freq[s[right]] += 1          # expand right
        while not valid(freq):       # ← define your condition
            freq[s[left]] -= 1
            if freq[s[left]] == 0:
                del freq[s[left]]
            left += 1                # contract left
        best = max(best, right - left + 1)
    return best
# Common validity checks:
# longest with no repeat    → len(freq) == right-left+1
# at most k distinct chars  → len(freq) &lt;= k
# min subarray sum &gt;= target→ curr_sum &gt;= target (shrink to minimize)</t>
  </si>
  <si>
    <t>WHEN: longest/shortest subarray with constraint
PROBLEMS: Longest Substring No Repeat (3), Fruit Into Baskets (904), Min Size Subarray Sum (209)
TIME: O(n)    SPACE: O(k)  where k = window constraint</t>
  </si>
  <si>
    <t xml:space="preserve">  🪟  SLIDING WINDOW — Fixed + Frequency Map (Anagram)</t>
  </si>
  <si>
    <t>def find_anagrams(s, p):
    from collections import Counter
    need   = Counter(p)     # target frequency
    window = Counter()
    k      = len(p)
    result = []
    for right in range(len(s)):
        window[s[right]] += 1               # expand
        if right &gt;= k:                      # remove outgoing char
            out = s[right - k]
            window[out] -= 1
            if window[out] == 0:
                del window[out]
        if window == need:                  # full match
            result.append(right - k + 1)   # window start index
    return result</t>
  </si>
  <si>
    <t>WHEN: find all anagrams / permutations of pattern in string
PROBLEMS: Permutation in String (567), Find All Anagrams (438)
TIME: O(n)    SPACE: O(1) since alphabet is fixed</t>
  </si>
  <si>
    <t xml:space="preserve">  🪟  SLIDING WINDOW — Maximum via Monotonic Deque</t>
  </si>
  <si>
    <t>from collections import deque
def sliding_max(nums, k):
    dq     = deque()    # stores INDICES, decreasing values
    result = []
    for i, num in enumerate(nums):
        # remove indices outside window
        while dq and dq[0] &lt;= i - k:
            dq.popleft()
        # remove smaller elements from back (monotonic decreasing)
        while dq and nums[dq[-1]] &lt; num:
            dq.pop()
        dq.append(i)
        if i &gt;= k - 1:                  # window is full
            result.append(nums[dq[0]]) # front = max
    return result</t>
  </si>
  <si>
    <t>WHEN: max/min in every window of size k
PROBLEMS: Sliding Window Maximum (239)
TIME: O(n)    SPACE: O(k)   ← each element enters/leaves deque once</t>
  </si>
  <si>
    <t xml:space="preserve">  ➕  PREFIX SUM — 1D Array + Range Query</t>
  </si>
  <si>
    <t>def build_prefix(nums):
    n      = len(nums)
    prefix = [0] * (n + 1)          # prefix[0] = 0  (sentinel)
    for i in range(n):
        prefix[i + 1] = prefix[i] + nums[i]
    return prefix
# Range sum [l, r]  (0-indexed, inclusive)
def range_sum(prefix, l, r):
    return prefix[r + 1] - prefix[l]
# ── Count subarrays with sum == k ──
def subarray_sum_k(nums, k):
    from collections import defaultdict
    seen  = defaultdict(int)
    seen[0] = 1         # empty prefix
    curr  = 0
    count = 0
    for num in nums:
        curr  += num
        count += seen[curr - k]   # how many prefixes sum to curr-k
        seen[curr] += 1
    return count</t>
  </si>
  <si>
    <t>WHEN: repeated range queries; count subarrays summing to k
PROBLEMS: Range Sum Query (303), Subarray Sum = K (560), Running Sum (1480)
TIME: O(n) build + O(1) query    SPACE: O(n)</t>
  </si>
  <si>
    <t xml:space="preserve">  ➕  PREFIX SUM — Modulo Trick (Divisibility)</t>
  </si>
  <si>
    <t># KEY INSIGHT:
# (prefix[j] - prefix[i]) % k == 0
#     ⟺  prefix[j] % k == prefix[i] % k
#
# So: count pairs of indices with same prefix_mod value
def subarrays_div_k(nums, k):
    from collections import defaultdict
    count      = defaultdict(int)
    count[0]   = 1       # empty prefix
    prefix_mod = 0
    result     = 0
    for num in nums:
        prefix_mod = (prefix_mod + num % k + k) % k  # +k handles negatives
        result    += count[prefix_mod]
        count[prefix_mod] += 1
    return result</t>
  </si>
  <si>
    <t>WHEN: subarray sum divisible by k; subarray with sum multiple of k
PROBLEMS: Subarray Sums Divisible by K (974), Continuous Subarray Sum (523)
TIME: O(n)    SPACE: O(k)</t>
  </si>
  <si>
    <t xml:space="preserve">  ➕  PREFIX SUM — 2D Matrix (Region Queries)</t>
  </si>
  <si>
    <t>def build_2d_prefix(matrix):
    m, n = len(matrix), len(matrix[0])
    dp = [[0] * (n + 1) for _ in range(m + 1)]
    for i in range(1, m + 1):
        for j in range(1, n + 1):
            dp[i][j] = (matrix[i-1][j-1]
                       + dp[i-1][j]
                       + dp[i][j-1]
                       - dp[i-1][j-1])   # inclusion-exclusion
    return dp
# Sum of region (r1,c1)→(r2,c2)  (0-indexed)
def region_sum(dp, r1, c1, r2, c2):
    return (dp[r2+1][c2+1]
           - dp[r1][c2+1]
           - dp[r2+1][c1]
           + dp[r1][c1])</t>
  </si>
  <si>
    <t>WHEN: sum of any sub-matrix in O(1) after O(mn) build
PROBLEMS: Matrix Block Sum (1314), Range Sum Query 2D (304)
TIME: O(mn) build + O(1) query    SPACE: O(mn)</t>
  </si>
  <si>
    <t xml:space="preserve">  ➕  PREFIX SUM — Difference Array (Range Updates)</t>
  </si>
  <si>
    <t>def apply_range_updates(n, updates):
    # updates = [(l, r, val), ...]  → add val to each index in [l,r]
    diff = [0] * (n + 1)
    for l, r, val in updates:
        diff[l]     += val
        diff[r + 1] -= val   # cancel after r
    # Reconstruct result via prefix sum of diff
    result, curr = [], 0
    for i in range(n):
        curr += diff[i]
        result.append(curr)
    return result</t>
  </si>
  <si>
    <t>WHEN: multiple range-add operations → reconstruct final array
PROBLEMS: Range Addition (370)
TIME: O(n + q)    SPACE: O(n)   q = number of updates</t>
  </si>
  <si>
    <t>📝  Interview Quick-Reference — Pattern Signals · Tips · Company Frequency</t>
  </si>
  <si>
    <t xml:space="preserve">  🧠  PATTERN RECOGNITION SIGNALS</t>
  </si>
  <si>
    <t>Two Pointers →</t>
  </si>
  <si>
    <t xml:space="preserve">  Sorted array + find pair/triplet with sum → Opposite ends
  In-place remove/filter elements → Same direction (write pointer)
  Linked List cycle / find middle → Fast &amp; Slow
  Squeeze to maximize/minimize (area, boats) → Opposite ends
  K-way merge, Dutch national flag → 3-pointer variant</t>
  </si>
  <si>
    <t>Sliding Window →</t>
  </si>
  <si>
    <t xml:space="preserve">  Exact window size k + aggregate (sum, max) → Fixed window
  Longest subarray/substring with constraint → Dynamic expand/contract
  Find all anagrams / permutations of pattern → Fixed + freq map
  Maximum / minimum in every window → Monotonic Deque (O(n))
  Keywords: 'at most k', 'longest', 'minimum length', 'contiguous'</t>
  </si>
  <si>
    <t>Prefix Sum →</t>
  </si>
  <si>
    <t xml:space="preserve">  Range sum queries on static array → 1D prefix array
  Count subarrays with sum = k (can be -ve) → Prefix + HashMap
  Subarray sum divisible by k → Prefix + Mod + HashMap
  Bulk range updates then reconstruct → Difference array
  2D region sum queries → 2D prefix (inclusion-exclusion)</t>
  </si>
  <si>
    <t xml:space="preserve">  ⚡  INTERVIEW EXECUTION TIPS</t>
  </si>
  <si>
    <t>Before you code</t>
  </si>
  <si>
    <t xml:space="preserve">  1. Ask: is array sorted? can there be duplicates? negative numbers?
  2. Can I modify input in place? What should I return?
  3. State the brute-force first, then optimize.
  4. Declare time/space complexity before you start typing.</t>
  </si>
  <si>
    <t>While coding</t>
  </si>
  <si>
    <t xml:space="preserve">  1. Name pointers clearly: left/right, slow/fast, write/read.
  2. Edge cases: empty input, k &gt; n, single element, all same.
  3. Check for integer overflow (use // in Python, long in Java).
  4. Dry-run your code on the example before submitting.</t>
  </si>
  <si>
    <t>Common Traps</t>
  </si>
  <si>
    <t xml:space="preserve">  • 3Sum / 4Sum: must skip duplicates after placing each element.
  • Sliding window: off-by-one → window size = right - left + 1.
  • Prefix mod with negatives: use (mod + k) % k to stay positive.
  • Anagram window: delete key from dict when count hits 0, not just decrement.
  • 2D prefix: use 1-indexed dp to avoid boundary checks.</t>
  </si>
  <si>
    <t xml:space="preserve">  🏢  COMPANY FREQUENCY (SDE-2 Level)</t>
  </si>
  <si>
    <t>Google / Meta</t>
  </si>
  <si>
    <t xml:space="preserve">  ⭐⭐⭐ Minimum Window Substring (76)
  ⭐⭐⭐ Trapping Rain Water (42)
  ⭐⭐⭐ Sliding Window Maximum (239)
  ⭐⭐   Subarray Sum = K (560)
  ⭐⭐   3Sum (15)  +  Longest Substr No Repeat (3)</t>
  </si>
  <si>
    <t>Amazon / Microsoft</t>
  </si>
  <si>
    <t xml:space="preserve">  ⭐⭐⭐ Product of Array Except Self (238)
  ⭐⭐⭐ Container With Most Water (11)
  ⭐⭐   Longest Repeating Char Replacement (424)
  ⭐⭐   Minimum Size Subarray Sum (209)
  ⭐     Find All Anagrams (438)</t>
  </si>
  <si>
    <t>Flipkart / Swiggy / Zomato / Meesho</t>
  </si>
  <si>
    <t xml:space="preserve">  ⭐⭐⭐ Permutation in String (567)
  ⭐⭐   Continuous Subarray Sum (523)
  ⭐⭐   Max Consecutive Ones III (1004)
  ⭐⭐   Subarray Sums Divisible by K (974)
  ⭐     Partition Labels (763)</t>
  </si>
  <si>
    <t xml:space="preserve">  📋  COMPLEXITY CHEATSHEET</t>
  </si>
  <si>
    <t xml:space="preserve">  Opposite ends (one pass):     O(n) time   O(1) space
  3Sum (sort + two ptr):         O(n²) time  O(1) space
  Fast/Slow pointer:             O(n) time   O(1) space</t>
  </si>
  <si>
    <t xml:space="preserve">  Fixed window:                  O(n) time   O(1) space
  Dynamic window (char freq):    O(n) time   O(k) space
  Monotonic Deque:               O(n) time   O(k) space</t>
  </si>
  <si>
    <t xml:space="preserve">  Build prefix array:            O(n) time   O(n) space
  Range query after build:       O(1) time   O(1) space
  Prefix + HashMap (count k):    O(n) time   O(n) space
  2D prefix build:               O(mn) time  O(mn) space
  Difference array:              O(n+q) time O(n)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</si>
</sst>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7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0.0"/>
      <color rgb="FFFFFFFF"/>
      <name val="Calibri"/>
    </font>
    <font>
      <b/>
      <sz val="10.0"/>
      <color rgb="FF1A1A1A"/>
      <name val="Calibri"/>
    </font>
    <font>
      <sz val="10.0"/>
      <color rgb="FF1A1A1A"/>
      <name val="Calibri"/>
    </font>
    <font>
      <b/>
      <sz val="10.0"/>
      <color rgb="FF375623"/>
      <name val="Calibri"/>
    </font>
    <font>
      <sz val="10.0"/>
      <color rgb="FF555555"/>
      <name val="Calibri"/>
    </font>
    <font>
      <u/>
      <sz val="10.0"/>
      <color rgb="FF0563C1"/>
      <name val="Calibri"/>
    </font>
    <font>
      <sz val="10.0"/>
      <color theme="1"/>
      <name val="Calibri"/>
    </font>
    <font>
      <u/>
      <sz val="10.0"/>
      <color rgb="FF0563C1"/>
      <name val="Calibri"/>
    </font>
    <font>
      <b/>
      <sz val="10.0"/>
      <color rgb="FF7F4F00"/>
      <name val="Calibri"/>
    </font>
    <font>
      <b/>
      <sz val="10.0"/>
      <color rgb="FF9C0006"/>
      <name val="Calibri"/>
    </font>
    <font>
      <b/>
      <sz val="13.0"/>
      <color rgb="FFFFFFFF"/>
      <name val="Calibri"/>
    </font>
    <font>
      <sz val="9.0"/>
      <color rgb="FF004C4C"/>
      <name val="Calibri"/>
    </font>
    <font>
      <sz val="12.0"/>
      <color rgb="FF888888"/>
      <name val="Cambria"/>
    </font>
    <font>
      <u/>
      <sz val="10.0"/>
      <color rgb="FF0563C1"/>
      <name val="Calibri"/>
    </font>
    <font>
      <sz val="11.0"/>
      <color theme="1"/>
      <name val="Calibri"/>
    </font>
    <font>
      <sz val="9.0"/>
      <color rgb="FF375623"/>
      <name val="Calibri"/>
    </font>
    <font>
      <u/>
      <sz val="10.0"/>
      <color rgb="FF0563C1"/>
      <name val="Calibri"/>
    </font>
    <font>
      <sz val="9.0"/>
      <color rgb="FF4527A0"/>
      <name val="Calibri"/>
    </font>
    <font>
      <u/>
      <sz val="10.0"/>
      <color rgb="FF0563C1"/>
      <name val="Calibri"/>
    </font>
    <font>
      <b/>
      <i/>
      <sz val="11.0"/>
      <color rgb="FF444444"/>
      <name val="Calibri"/>
    </font>
    <font>
      <b/>
      <sz val="11.0"/>
      <color rgb="FFFFFFFF"/>
      <name val="Calibri"/>
    </font>
    <font>
      <sz val="11.0"/>
      <color rgb="FF1A1A1A"/>
      <name val="Calibri"/>
    </font>
    <font>
      <b/>
      <sz val="11.0"/>
      <color rgb="FF375623"/>
      <name val="Calibri"/>
    </font>
    <font>
      <b/>
      <sz val="11.0"/>
      <color rgb="FF7F4F00"/>
      <name val="Calibri"/>
    </font>
    <font>
      <b/>
      <sz val="11.0"/>
      <color rgb="FF9C0006"/>
      <name val="Calibri"/>
    </font>
    <font>
      <sz val="11.0"/>
      <color rgb="FF555555"/>
      <name val="Calibri"/>
    </font>
    <font>
      <b/>
      <sz val="10.0"/>
      <color rgb="FF7030A0"/>
      <name val="Calibri"/>
    </font>
    <font>
      <b/>
      <sz val="10.0"/>
      <color rgb="FFC55A11"/>
      <name val="Calibri"/>
    </font>
    <font>
      <sz val="9.0"/>
      <color rgb="FF1A1A2E"/>
      <name val="Courier New"/>
    </font>
    <font>
      <sz val="10.0"/>
      <color rgb="FF1A1A2E"/>
      <name val="Calibri"/>
    </font>
    <font>
      <b/>
      <sz val="12.0"/>
      <color rgb="FFFFFFFF"/>
      <name val="Calibri"/>
    </font>
    <font>
      <b/>
      <sz val="10.0"/>
      <color rgb="FF1F4E79"/>
      <name val="Calibri"/>
    </font>
    <font>
      <b/>
      <sz val="10.0"/>
      <color rgb="FF70AD47"/>
      <name val="Calibri"/>
    </font>
    <font>
      <b/>
      <sz val="10.0"/>
      <color rgb="FF006666"/>
      <name val="Calibri"/>
    </font>
  </fonts>
  <fills count="3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E0E0"/>
        <bgColor rgb="FFFFE0E0"/>
      </patternFill>
    </fill>
    <fill>
      <patternFill patternType="solid">
        <fgColor rgb="FFFFF3E0"/>
        <bgColor rgb="FFFFF3E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E8EAF6"/>
        <bgColor rgb="FFE8EAF6"/>
      </patternFill>
    </fill>
    <fill>
      <patternFill patternType="solid">
        <fgColor theme="6"/>
        <bgColor theme="6"/>
      </patternFill>
    </fill>
    <fill>
      <patternFill patternType="solid">
        <fgColor rgb="FF004C4C"/>
        <bgColor rgb="FF004C4C"/>
      </patternFill>
    </fill>
    <fill>
      <patternFill patternType="solid">
        <fgColor rgb="FFD0EFEF"/>
        <bgColor rgb="FFD0EFEF"/>
      </patternFill>
    </fill>
    <fill>
      <patternFill patternType="solid">
        <fgColor rgb="FFBBBBBB"/>
        <bgColor rgb="FFBBBBBB"/>
      </patternFill>
    </fill>
    <fill>
      <patternFill patternType="solid">
        <fgColor rgb="FF375623"/>
        <bgColor rgb="FF375623"/>
      </patternFill>
    </fill>
    <fill>
      <patternFill patternType="solid">
        <fgColor rgb="FFDFF0D8"/>
        <bgColor rgb="FFDFF0D8"/>
      </patternFill>
    </fill>
    <fill>
      <patternFill patternType="solid">
        <fgColor rgb="FF4527A0"/>
        <bgColor rgb="FF4527A0"/>
      </patternFill>
    </fill>
    <fill>
      <patternFill patternType="solid">
        <fgColor rgb="FFE8E0F5"/>
        <bgColor rgb="FFE8E0F5"/>
      </patternFill>
    </fill>
    <fill>
      <patternFill patternType="solid">
        <fgColor rgb="FFF0F0F0"/>
        <bgColor rgb="FFF0F0F0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EAD1F5"/>
        <bgColor rgb="FFEAD1F5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F5F5FF"/>
        <bgColor rgb="FFF5F5FF"/>
      </patternFill>
    </fill>
    <fill>
      <patternFill patternType="solid">
        <fgColor rgb="FFFFFDE7"/>
        <bgColor rgb="FFFFFDE7"/>
      </patternFill>
    </fill>
    <fill>
      <patternFill patternType="solid">
        <fgColor rgb="FFF0F0FF"/>
        <bgColor rgb="FFF0F0FF"/>
      </patternFill>
    </fill>
    <fill>
      <patternFill patternType="solid">
        <fgColor rgb="FFFAFAFA"/>
        <bgColor rgb="FFFAFAFA"/>
      </patternFill>
    </fill>
    <fill>
      <patternFill patternType="solid">
        <fgColor rgb="FF006666"/>
        <bgColor rgb="FF006666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center" shrinkToFit="0" vertical="center" wrapText="0"/>
    </xf>
    <xf borderId="4" fillId="7" fontId="4" numFmtId="0" xfId="0" applyAlignment="1" applyBorder="1" applyFill="1" applyFont="1">
      <alignment horizontal="center" shrinkToFit="0" vertical="center" wrapText="0"/>
    </xf>
    <xf borderId="4" fillId="8" fontId="7" numFmtId="0" xfId="0" applyAlignment="1" applyBorder="1" applyFill="1" applyFont="1">
      <alignment horizontal="center" readingOrder="0" shrinkToFit="0" vertical="center" wrapText="0"/>
    </xf>
    <xf borderId="4" fillId="4" fontId="5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horizontal="center" shrinkToFit="0" vertical="bottom" wrapText="0"/>
    </xf>
    <xf borderId="4" fillId="9" fontId="4" numFmtId="0" xfId="0" applyAlignment="1" applyBorder="1" applyFill="1" applyFont="1">
      <alignment horizontal="center" shrinkToFit="0" vertical="center" wrapText="0"/>
    </xf>
    <xf borderId="4" fillId="9" fontId="5" numFmtId="0" xfId="0" applyAlignment="1" applyBorder="1" applyFont="1">
      <alignment horizontal="left" shrinkToFit="0" vertical="center" wrapText="0"/>
    </xf>
    <xf borderId="4" fillId="9" fontId="5" numFmtId="0" xfId="0" applyAlignment="1" applyBorder="1" applyFont="1">
      <alignment horizontal="center" shrinkToFit="0" vertical="center" wrapText="0"/>
    </xf>
    <xf borderId="4" fillId="9" fontId="5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center" shrinkToFit="0" vertical="center" wrapText="0"/>
    </xf>
    <xf borderId="4" fillId="9" fontId="9" numFmtId="0" xfId="0" applyAlignment="1" applyBorder="1" applyFont="1">
      <alignment horizontal="center" shrinkToFit="0" vertical="bottom" wrapText="0"/>
    </xf>
    <xf borderId="4" fillId="10" fontId="11" numFmtId="0" xfId="0" applyAlignment="1" applyBorder="1" applyFill="1" applyFont="1">
      <alignment horizontal="center" shrinkToFit="0" vertical="center" wrapText="0"/>
    </xf>
    <xf borderId="4" fillId="11" fontId="4" numFmtId="0" xfId="0" applyAlignment="1" applyBorder="1" applyFill="1" applyFont="1">
      <alignment horizontal="center" shrinkToFit="0" vertical="center" wrapText="0"/>
    </xf>
    <xf borderId="4" fillId="8" fontId="7" numFmtId="0" xfId="0" applyAlignment="1" applyBorder="1" applyFont="1">
      <alignment horizontal="center" shrinkToFit="0" vertical="center" wrapText="0"/>
    </xf>
    <xf borderId="4" fillId="12" fontId="4" numFmtId="0" xfId="0" applyAlignment="1" applyBorder="1" applyFill="1" applyFont="1">
      <alignment horizontal="center" shrinkToFit="0" vertical="center" wrapText="0"/>
    </xf>
    <xf borderId="4" fillId="13" fontId="12" numFmtId="0" xfId="0" applyAlignment="1" applyBorder="1" applyFill="1" applyFont="1">
      <alignment horizontal="center" shrinkToFit="0" vertical="center" wrapText="0"/>
    </xf>
    <xf borderId="4" fillId="14" fontId="4" numFmtId="0" xfId="0" applyAlignment="1" applyBorder="1" applyFill="1" applyFont="1">
      <alignment horizontal="center" shrinkToFit="0" vertical="center" wrapText="0"/>
    </xf>
    <xf borderId="4" fillId="15" fontId="4" numFmtId="0" xfId="0" applyAlignment="1" applyBorder="1" applyFill="1" applyFont="1">
      <alignment horizontal="center" shrinkToFit="0" vertical="center" wrapText="0"/>
    </xf>
    <xf borderId="4" fillId="16" fontId="4" numFmtId="0" xfId="0" applyAlignment="1" applyBorder="1" applyFill="1" applyFont="1">
      <alignment horizontal="center" shrinkToFit="0" vertical="center" wrapText="0"/>
    </xf>
    <xf borderId="4" fillId="17" fontId="4" numFmtId="0" xfId="0" applyAlignment="1" applyBorder="1" applyFill="1" applyFont="1">
      <alignment horizontal="center" shrinkToFit="0" vertical="center" wrapText="0"/>
    </xf>
    <xf borderId="4" fillId="18" fontId="4" numFmtId="0" xfId="0" applyAlignment="1" applyBorder="1" applyFill="1" applyFont="1">
      <alignment horizontal="center" shrinkToFit="0" vertical="center" wrapText="0"/>
    </xf>
    <xf borderId="1" fillId="19" fontId="13" numFmtId="0" xfId="0" applyAlignment="1" applyBorder="1" applyFill="1" applyFont="1">
      <alignment horizontal="center" shrinkToFit="0" vertical="center" wrapText="0"/>
    </xf>
    <xf borderId="4" fillId="19" fontId="3" numFmtId="0" xfId="0" applyAlignment="1" applyBorder="1" applyFont="1">
      <alignment horizontal="center" shrinkToFit="0" vertical="center" wrapText="1"/>
    </xf>
    <xf borderId="5" fillId="19" fontId="13" numFmtId="0" xfId="0" applyAlignment="1" applyBorder="1" applyFont="1">
      <alignment horizontal="center" shrinkToFit="0" vertical="center" wrapText="1"/>
    </xf>
    <xf borderId="5" fillId="20" fontId="14" numFmtId="0" xfId="0" applyAlignment="1" applyBorder="1" applyFill="1" applyFont="1">
      <alignment horizontal="left" shrinkToFit="0" vertical="center" wrapText="1"/>
    </xf>
    <xf borderId="4" fillId="20" fontId="5" numFmtId="0" xfId="0" applyAlignment="1" applyBorder="1" applyFont="1">
      <alignment horizontal="center" shrinkToFit="0" vertical="center" wrapText="0"/>
    </xf>
    <xf borderId="4" fillId="20" fontId="15" numFmtId="0" xfId="0" applyAlignment="1" applyBorder="1" applyFont="1">
      <alignment horizontal="center" readingOrder="0" shrinkToFit="0" vertical="center" wrapText="0"/>
    </xf>
    <xf borderId="4" fillId="20" fontId="16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1" fontId="17" numFmtId="0" xfId="0" applyAlignment="1" applyBorder="1" applyFill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4" fillId="20" fontId="15" numFmtId="0" xfId="0" applyAlignment="1" applyBorder="1" applyFont="1">
      <alignment horizontal="center" shrinkToFit="0" vertical="center" wrapText="0"/>
    </xf>
    <xf borderId="5" fillId="22" fontId="13" numFmtId="0" xfId="0" applyAlignment="1" applyBorder="1" applyFill="1" applyFont="1">
      <alignment horizontal="center" shrinkToFit="0" vertical="center" wrapText="1"/>
    </xf>
    <xf borderId="5" fillId="23" fontId="18" numFmtId="0" xfId="0" applyAlignment="1" applyBorder="1" applyFill="1" applyFont="1">
      <alignment horizontal="left" shrinkToFit="0" vertical="center" wrapText="1"/>
    </xf>
    <xf borderId="4" fillId="23" fontId="5" numFmtId="0" xfId="0" applyAlignment="1" applyBorder="1" applyFont="1">
      <alignment horizontal="center" shrinkToFit="0" vertical="center" wrapText="0"/>
    </xf>
    <xf borderId="4" fillId="23" fontId="15" numFmtId="0" xfId="0" applyAlignment="1" applyBorder="1" applyFont="1">
      <alignment horizontal="center" shrinkToFit="0" vertical="center" wrapText="0"/>
    </xf>
    <xf borderId="4" fillId="23" fontId="19" numFmtId="0" xfId="0" applyAlignment="1" applyBorder="1" applyFont="1">
      <alignment shrinkToFit="0" vertical="center" wrapText="1"/>
    </xf>
    <xf borderId="5" fillId="24" fontId="13" numFmtId="0" xfId="0" applyAlignment="1" applyBorder="1" applyFill="1" applyFont="1">
      <alignment horizontal="center" shrinkToFit="0" vertical="center" wrapText="1"/>
    </xf>
    <xf borderId="5" fillId="25" fontId="20" numFmtId="0" xfId="0" applyAlignment="1" applyBorder="1" applyFill="1" applyFont="1">
      <alignment horizontal="left" shrinkToFit="0" vertical="center" wrapText="1"/>
    </xf>
    <xf borderId="4" fillId="25" fontId="5" numFmtId="0" xfId="0" applyAlignment="1" applyBorder="1" applyFont="1">
      <alignment horizontal="center" shrinkToFit="0" vertical="center" wrapText="0"/>
    </xf>
    <xf borderId="4" fillId="25" fontId="15" numFmtId="0" xfId="0" applyAlignment="1" applyBorder="1" applyFont="1">
      <alignment horizontal="center" shrinkToFit="0" vertical="center" wrapText="0"/>
    </xf>
    <xf borderId="4" fillId="25" fontId="21" numFmtId="0" xfId="0" applyAlignment="1" applyBorder="1" applyFont="1">
      <alignment shrinkToFit="0" vertical="center" wrapText="1"/>
    </xf>
    <xf borderId="1" fillId="26" fontId="22" numFmtId="0" xfId="0" applyAlignment="1" applyBorder="1" applyFill="1" applyFont="1">
      <alignment horizontal="left" shrinkToFit="0" vertical="center" wrapText="0"/>
    </xf>
    <xf borderId="1" fillId="27" fontId="13" numFmtId="0" xfId="0" applyAlignment="1" applyBorder="1" applyFill="1" applyFont="1">
      <alignment horizontal="center" shrinkToFit="0" vertical="center" wrapText="0"/>
    </xf>
    <xf borderId="1" fillId="3" fontId="23" numFmtId="0" xfId="0" applyAlignment="1" applyBorder="1" applyFont="1">
      <alignment horizontal="left" shrinkToFit="0" vertical="center" wrapText="0"/>
    </xf>
    <xf borderId="4" fillId="4" fontId="4" numFmtId="0" xfId="0" applyAlignment="1" applyBorder="1" applyFont="1">
      <alignment horizontal="left" shrinkToFit="0" vertical="center" wrapText="0"/>
    </xf>
    <xf borderId="4" fillId="9" fontId="24" numFmtId="0" xfId="0" applyAlignment="1" applyBorder="1" applyFont="1">
      <alignment horizontal="center" shrinkToFit="0" vertical="center" wrapText="0"/>
    </xf>
    <xf borderId="4" fillId="4" fontId="17" numFmtId="0" xfId="0" applyAlignment="1" applyBorder="1" applyFont="1">
      <alignment shrinkToFit="0" vertical="bottom" wrapText="0"/>
    </xf>
    <xf borderId="4" fillId="6" fontId="25" numFmtId="0" xfId="0" applyAlignment="1" applyBorder="1" applyFont="1">
      <alignment horizontal="center" shrinkToFit="0" vertical="center" wrapText="0"/>
    </xf>
    <xf borderId="4" fillId="10" fontId="26" numFmtId="0" xfId="0" applyAlignment="1" applyBorder="1" applyFont="1">
      <alignment horizontal="center" shrinkToFit="0" vertical="center" wrapText="0"/>
    </xf>
    <xf borderId="4" fillId="13" fontId="27" numFmtId="0" xfId="0" applyAlignment="1" applyBorder="1" applyFont="1">
      <alignment horizontal="center" shrinkToFit="0" vertical="center" wrapText="0"/>
    </xf>
    <xf borderId="4" fillId="8" fontId="28" numFmtId="0" xfId="0" applyAlignment="1" applyBorder="1" applyFont="1">
      <alignment horizontal="center" shrinkToFit="0" vertical="center" wrapText="0"/>
    </xf>
    <xf borderId="4" fillId="2" fontId="3" numFmtId="0" xfId="0" applyAlignment="1" applyBorder="1" applyFont="1">
      <alignment horizontal="left" shrinkToFit="0" vertical="center" wrapText="0"/>
    </xf>
    <xf borderId="1" fillId="2" fontId="1" numFmtId="164" xfId="0" applyAlignment="1" applyBorder="1" applyFont="1" applyNumberFormat="1">
      <alignment horizontal="center" shrinkToFit="0" vertical="center" wrapText="0"/>
    </xf>
    <xf borderId="1" fillId="28" fontId="23" numFmtId="0" xfId="0" applyAlignment="1" applyBorder="1" applyFill="1" applyFont="1">
      <alignment horizontal="left" shrinkToFit="0" vertical="center" wrapText="0"/>
    </xf>
    <xf borderId="4" fillId="29" fontId="6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left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6" fontId="9" numFmtId="0" xfId="0" applyAlignment="1" applyBorder="1" applyFont="1">
      <alignment horizontal="center" shrinkToFit="0" vertical="bottom" wrapText="0"/>
    </xf>
    <xf borderId="4" fillId="6" fontId="9" numFmtId="164" xfId="0" applyAlignment="1" applyBorder="1" applyFont="1" applyNumberFormat="1">
      <alignment horizontal="center" shrinkToFit="0" vertical="bottom" wrapText="0"/>
    </xf>
    <xf borderId="4" fillId="10" fontId="4" numFmtId="0" xfId="0" applyAlignment="1" applyBorder="1" applyFont="1">
      <alignment horizontal="left" shrinkToFit="0" vertical="center" wrapText="0"/>
    </xf>
    <xf borderId="4" fillId="10" fontId="5" numFmtId="0" xfId="0" applyAlignment="1" applyBorder="1" applyFont="1">
      <alignment horizontal="center" shrinkToFit="0" vertical="center" wrapText="0"/>
    </xf>
    <xf borderId="4" fillId="10" fontId="9" numFmtId="0" xfId="0" applyAlignment="1" applyBorder="1" applyFont="1">
      <alignment horizontal="center" shrinkToFit="0" vertical="bottom" wrapText="0"/>
    </xf>
    <xf borderId="4" fillId="10" fontId="9" numFmtId="164" xfId="0" applyAlignment="1" applyBorder="1" applyFont="1" applyNumberFormat="1">
      <alignment horizontal="center" shrinkToFit="0" vertical="bottom" wrapText="0"/>
    </xf>
    <xf borderId="4" fillId="13" fontId="4" numFmtId="0" xfId="0" applyAlignment="1" applyBorder="1" applyFont="1">
      <alignment horizontal="left" shrinkToFit="0" vertical="center" wrapText="0"/>
    </xf>
    <xf borderId="4" fillId="13" fontId="5" numFmtId="0" xfId="0" applyAlignment="1" applyBorder="1" applyFont="1">
      <alignment horizontal="center" shrinkToFit="0" vertical="center" wrapText="0"/>
    </xf>
    <xf borderId="4" fillId="13" fontId="9" numFmtId="0" xfId="0" applyAlignment="1" applyBorder="1" applyFont="1">
      <alignment horizontal="center" shrinkToFit="0" vertical="bottom" wrapText="0"/>
    </xf>
    <xf borderId="4" fillId="13" fontId="9" numFmtId="164" xfId="0" applyAlignment="1" applyBorder="1" applyFont="1" applyNumberFormat="1">
      <alignment horizontal="center" shrinkToFit="0" vertical="bottom" wrapText="0"/>
    </xf>
    <xf borderId="1" fillId="27" fontId="23" numFmtId="0" xfId="0" applyAlignment="1" applyBorder="1" applyFont="1">
      <alignment horizontal="left" shrinkToFit="0" vertical="center" wrapText="0"/>
    </xf>
    <xf borderId="4" fillId="30" fontId="29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bottom" wrapText="0"/>
    </xf>
    <xf borderId="4" fillId="5" fontId="9" numFmtId="164" xfId="0" applyAlignment="1" applyBorder="1" applyFont="1" applyNumberFormat="1">
      <alignment horizontal="center" shrinkToFit="0" vertical="bottom" wrapText="0"/>
    </xf>
    <xf borderId="4" fillId="14" fontId="4" numFmtId="0" xfId="0" applyAlignment="1" applyBorder="1" applyFont="1">
      <alignment horizontal="left" shrinkToFit="0" vertical="center" wrapText="0"/>
    </xf>
    <xf borderId="4" fillId="14" fontId="5" numFmtId="0" xfId="0" applyAlignment="1" applyBorder="1" applyFont="1">
      <alignment horizontal="center" shrinkToFit="0" vertical="center" wrapText="0"/>
    </xf>
    <xf borderId="4" fillId="14" fontId="9" numFmtId="0" xfId="0" applyAlignment="1" applyBorder="1" applyFont="1">
      <alignment horizontal="center" shrinkToFit="0" vertical="bottom" wrapText="0"/>
    </xf>
    <xf borderId="4" fillId="14" fontId="9" numFmtId="164" xfId="0" applyAlignment="1" applyBorder="1" applyFont="1" applyNumberFormat="1">
      <alignment horizontal="center" shrinkToFit="0" vertical="bottom" wrapText="0"/>
    </xf>
    <xf borderId="4" fillId="17" fontId="4" numFmtId="0" xfId="0" applyAlignment="1" applyBorder="1" applyFont="1">
      <alignment horizontal="left" shrinkToFit="0" vertical="center" wrapText="0"/>
    </xf>
    <xf borderId="4" fillId="17" fontId="5" numFmtId="0" xfId="0" applyAlignment="1" applyBorder="1" applyFont="1">
      <alignment horizontal="center" shrinkToFit="0" vertical="center" wrapText="0"/>
    </xf>
    <xf borderId="4" fillId="17" fontId="9" numFmtId="0" xfId="0" applyAlignment="1" applyBorder="1" applyFont="1">
      <alignment horizontal="center" shrinkToFit="0" vertical="bottom" wrapText="0"/>
    </xf>
    <xf borderId="4" fillId="17" fontId="9" numFmtId="164" xfId="0" applyAlignment="1" applyBorder="1" applyFont="1" applyNumberFormat="1">
      <alignment horizontal="center" shrinkToFit="0" vertical="bottom" wrapText="0"/>
    </xf>
    <xf borderId="1" fillId="31" fontId="23" numFmtId="0" xfId="0" applyAlignment="1" applyBorder="1" applyFill="1" applyFont="1">
      <alignment horizontal="left" shrinkToFit="0" vertical="center" wrapText="0"/>
    </xf>
    <xf borderId="4" fillId="32" fontId="30" numFmtId="0" xfId="0" applyAlignment="1" applyBorder="1" applyFill="1" applyFont="1">
      <alignment horizontal="center" shrinkToFit="0" vertical="center" wrapText="0"/>
    </xf>
    <xf borderId="1" fillId="31" fontId="13" numFmtId="0" xfId="0" applyAlignment="1" applyBorder="1" applyFont="1">
      <alignment horizontal="center" shrinkToFit="0" vertical="center" wrapText="0"/>
    </xf>
    <xf borderId="4" fillId="33" fontId="31" numFmtId="0" xfId="0" applyAlignment="1" applyBorder="1" applyFill="1" applyFont="1">
      <alignment horizontal="left" shrinkToFit="0" vertical="top" wrapText="1"/>
    </xf>
    <xf borderId="4" fillId="34" fontId="32" numFmtId="0" xfId="0" applyAlignment="1" applyBorder="1" applyFill="1" applyFont="1">
      <alignment horizontal="left" shrinkToFit="0" vertical="top" wrapText="1"/>
    </xf>
    <xf borderId="1" fillId="22" fontId="23" numFmtId="0" xfId="0" applyAlignment="1" applyBorder="1" applyFont="1">
      <alignment horizontal="left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1" fillId="2" fontId="33" numFmtId="0" xfId="0" applyAlignment="1" applyBorder="1" applyFont="1">
      <alignment horizontal="left" shrinkToFit="0" vertical="center" wrapText="0"/>
    </xf>
    <xf borderId="4" fillId="35" fontId="34" numFmtId="0" xfId="0" applyAlignment="1" applyBorder="1" applyFill="1" applyFont="1">
      <alignment horizontal="left" shrinkToFit="0" vertical="top" wrapText="1"/>
    </xf>
    <xf borderId="4" fillId="36" fontId="9" numFmtId="0" xfId="0" applyAlignment="1" applyBorder="1" applyFill="1" applyFont="1">
      <alignment horizontal="left" shrinkToFit="0" vertical="top" wrapText="1"/>
    </xf>
    <xf borderId="1" fillId="31" fontId="33" numFmtId="0" xfId="0" applyAlignment="1" applyBorder="1" applyFont="1">
      <alignment horizontal="left" shrinkToFit="0" vertical="center" wrapText="0"/>
    </xf>
    <xf borderId="4" fillId="35" fontId="30" numFmtId="0" xfId="0" applyAlignment="1" applyBorder="1" applyFont="1">
      <alignment horizontal="left" shrinkToFit="0" vertical="top" wrapText="1"/>
    </xf>
    <xf borderId="1" fillId="28" fontId="33" numFmtId="0" xfId="0" applyAlignment="1" applyBorder="1" applyFont="1">
      <alignment horizontal="left" shrinkToFit="0" vertical="center" wrapText="0"/>
    </xf>
    <xf borderId="4" fillId="35" fontId="35" numFmtId="0" xfId="0" applyAlignment="1" applyBorder="1" applyFont="1">
      <alignment horizontal="left" shrinkToFit="0" vertical="top" wrapText="1"/>
    </xf>
    <xf borderId="1" fillId="37" fontId="33" numFmtId="0" xfId="0" applyAlignment="1" applyBorder="1" applyFill="1" applyFont="1">
      <alignment horizontal="left" shrinkToFit="0" vertical="center" wrapText="0"/>
    </xf>
    <xf borderId="4" fillId="35" fontId="3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0"/>
    <col customWidth="1" min="2" max="2" width="36.0"/>
    <col customWidth="1" min="3" max="3" width="7.0"/>
    <col customWidth="1" min="4" max="4" width="16.0"/>
    <col customWidth="1" min="5" max="5" width="18.0"/>
    <col customWidth="1" min="6" max="6" width="12.0"/>
    <col customWidth="1" min="7" max="7" width="6.0"/>
    <col customWidth="1" min="8" max="8" width="14.0"/>
    <col customWidth="1" min="9" max="9" width="12.0"/>
    <col customWidth="1" min="10" max="10" width="36.0"/>
    <col customWidth="1" min="11" max="12" width="9.0"/>
    <col customWidth="1" min="13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ht="19.5" customHeight="1">
      <c r="A3" s="5">
        <v>1.0</v>
      </c>
      <c r="B3" s="6" t="s">
        <v>13</v>
      </c>
      <c r="C3" s="7" t="s">
        <v>14</v>
      </c>
      <c r="D3" s="8" t="s">
        <v>15</v>
      </c>
      <c r="E3" s="6" t="s">
        <v>16</v>
      </c>
      <c r="F3" s="9" t="s">
        <v>17</v>
      </c>
      <c r="G3" s="10">
        <v>1.0</v>
      </c>
      <c r="H3" s="11" t="s">
        <v>18</v>
      </c>
      <c r="I3" s="7"/>
      <c r="J3" s="12"/>
      <c r="K3" s="13" t="str">
        <f>HYPERLINK("https://leetcode.com/problems/valid-palindrome/","🔗 Open")</f>
        <v>🔗 Open</v>
      </c>
      <c r="L3" s="14" t="s">
        <v>19</v>
      </c>
    </row>
    <row r="4" ht="19.5" customHeight="1">
      <c r="A4" s="15">
        <v>2.0</v>
      </c>
      <c r="B4" s="16" t="s">
        <v>20</v>
      </c>
      <c r="C4" s="17" t="s">
        <v>21</v>
      </c>
      <c r="D4" s="8" t="s">
        <v>15</v>
      </c>
      <c r="E4" s="16" t="s">
        <v>16</v>
      </c>
      <c r="F4" s="9" t="s">
        <v>17</v>
      </c>
      <c r="G4" s="10">
        <v>1.0</v>
      </c>
      <c r="H4" s="11" t="s">
        <v>18</v>
      </c>
      <c r="I4" s="17"/>
      <c r="J4" s="18"/>
      <c r="K4" s="19" t="str">
        <f>HYPERLINK("https://leetcode.com/problems/reverse-string/","🔗 Open")</f>
        <v>🔗 Open</v>
      </c>
      <c r="L4" s="20" t="s">
        <v>19</v>
      </c>
    </row>
    <row r="5" ht="19.5" customHeight="1">
      <c r="A5" s="5">
        <v>3.0</v>
      </c>
      <c r="B5" s="6" t="s">
        <v>22</v>
      </c>
      <c r="C5" s="7" t="s">
        <v>23</v>
      </c>
      <c r="D5" s="8" t="s">
        <v>15</v>
      </c>
      <c r="E5" s="6" t="s">
        <v>16</v>
      </c>
      <c r="F5" s="21" t="s">
        <v>24</v>
      </c>
      <c r="G5" s="10">
        <v>1.0</v>
      </c>
      <c r="H5" s="11" t="s">
        <v>18</v>
      </c>
      <c r="I5" s="7"/>
      <c r="J5" s="12"/>
      <c r="K5" s="13" t="str">
        <f>HYPERLINK("https://leetcode.com/problems/two-sum-ii-input-array-is-sorted/","🔗 Open")</f>
        <v>🔗 Open</v>
      </c>
      <c r="L5" s="14" t="s">
        <v>19</v>
      </c>
    </row>
    <row r="6" ht="19.5" customHeight="1">
      <c r="A6" s="15">
        <v>4.0</v>
      </c>
      <c r="B6" s="16" t="s">
        <v>25</v>
      </c>
      <c r="C6" s="17" t="s">
        <v>26</v>
      </c>
      <c r="D6" s="8" t="s">
        <v>15</v>
      </c>
      <c r="E6" s="16" t="s">
        <v>27</v>
      </c>
      <c r="F6" s="9" t="s">
        <v>17</v>
      </c>
      <c r="G6" s="10">
        <v>1.0</v>
      </c>
      <c r="H6" s="11" t="s">
        <v>18</v>
      </c>
      <c r="I6" s="17"/>
      <c r="J6" s="18"/>
      <c r="K6" s="19" t="str">
        <f>HYPERLINK("https://leetcode.com/problems/remove-duplicates-from-sorted-array/","🔗 Open")</f>
        <v>🔗 Open</v>
      </c>
      <c r="L6" s="20" t="s">
        <v>19</v>
      </c>
    </row>
    <row r="7" ht="19.5" customHeight="1">
      <c r="A7" s="5">
        <v>5.0</v>
      </c>
      <c r="B7" s="6" t="s">
        <v>28</v>
      </c>
      <c r="C7" s="7" t="s">
        <v>29</v>
      </c>
      <c r="D7" s="8" t="s">
        <v>15</v>
      </c>
      <c r="E7" s="6" t="s">
        <v>27</v>
      </c>
      <c r="F7" s="9" t="s">
        <v>17</v>
      </c>
      <c r="G7" s="10">
        <v>1.0</v>
      </c>
      <c r="H7" s="11" t="s">
        <v>18</v>
      </c>
      <c r="I7" s="7"/>
      <c r="J7" s="12"/>
      <c r="K7" s="13" t="str">
        <f>HYPERLINK("https://leetcode.com/problems/move-zeroes/","🔗 Open")</f>
        <v>🔗 Open</v>
      </c>
      <c r="L7" s="14" t="s">
        <v>19</v>
      </c>
    </row>
    <row r="8" ht="19.5" customHeight="1">
      <c r="A8" s="15">
        <v>6.0</v>
      </c>
      <c r="B8" s="16" t="s">
        <v>30</v>
      </c>
      <c r="C8" s="17" t="s">
        <v>31</v>
      </c>
      <c r="D8" s="8" t="s">
        <v>15</v>
      </c>
      <c r="E8" s="16" t="s">
        <v>32</v>
      </c>
      <c r="F8" s="21" t="s">
        <v>24</v>
      </c>
      <c r="G8" s="22">
        <v>2.0</v>
      </c>
      <c r="H8" s="23" t="s">
        <v>33</v>
      </c>
      <c r="I8" s="17"/>
      <c r="J8" s="18"/>
      <c r="K8" s="19" t="str">
        <f>HYPERLINK("https://leetcode.com/problems/container-with-most-water/","🔗 Open")</f>
        <v>🔗 Open</v>
      </c>
      <c r="L8" s="20" t="s">
        <v>19</v>
      </c>
    </row>
    <row r="9" ht="19.5" customHeight="1">
      <c r="A9" s="5">
        <v>7.0</v>
      </c>
      <c r="B9" s="6" t="s">
        <v>34</v>
      </c>
      <c r="C9" s="7" t="s">
        <v>35</v>
      </c>
      <c r="D9" s="8" t="s">
        <v>15</v>
      </c>
      <c r="E9" s="6" t="s">
        <v>36</v>
      </c>
      <c r="F9" s="9" t="s">
        <v>17</v>
      </c>
      <c r="G9" s="22">
        <v>2.0</v>
      </c>
      <c r="H9" s="23" t="s">
        <v>33</v>
      </c>
      <c r="I9" s="7"/>
      <c r="J9" s="12"/>
      <c r="K9" s="13" t="str">
        <f>HYPERLINK("https://leetcode.com/problems/linked-list-cycle/","🔗 Open")</f>
        <v>🔗 Open</v>
      </c>
      <c r="L9" s="14" t="s">
        <v>19</v>
      </c>
    </row>
    <row r="10" ht="19.5" customHeight="1">
      <c r="A10" s="15">
        <v>8.0</v>
      </c>
      <c r="B10" s="16" t="s">
        <v>37</v>
      </c>
      <c r="C10" s="17" t="s">
        <v>38</v>
      </c>
      <c r="D10" s="8" t="s">
        <v>15</v>
      </c>
      <c r="E10" s="16" t="s">
        <v>32</v>
      </c>
      <c r="F10" s="21" t="s">
        <v>24</v>
      </c>
      <c r="G10" s="22">
        <v>2.0</v>
      </c>
      <c r="H10" s="23" t="s">
        <v>33</v>
      </c>
      <c r="I10" s="17"/>
      <c r="J10" s="18"/>
      <c r="K10" s="19" t="str">
        <f>HYPERLINK("https://leetcode.com/problems/3sum/","🔗 Open")</f>
        <v>🔗 Open</v>
      </c>
      <c r="L10" s="20" t="s">
        <v>19</v>
      </c>
    </row>
    <row r="11" ht="19.5" customHeight="1">
      <c r="A11" s="5">
        <v>9.0</v>
      </c>
      <c r="B11" s="6" t="s">
        <v>39</v>
      </c>
      <c r="C11" s="7" t="s">
        <v>40</v>
      </c>
      <c r="D11" s="8" t="s">
        <v>15</v>
      </c>
      <c r="E11" s="6" t="s">
        <v>41</v>
      </c>
      <c r="F11" s="21" t="s">
        <v>24</v>
      </c>
      <c r="G11" s="22">
        <v>2.0</v>
      </c>
      <c r="H11" s="23" t="s">
        <v>33</v>
      </c>
      <c r="I11" s="7"/>
      <c r="J11" s="12"/>
      <c r="K11" s="13" t="str">
        <f>HYPERLINK("https://leetcode.com/problems/sort-colors/","🔗 Open")</f>
        <v>🔗 Open</v>
      </c>
      <c r="L11" s="14" t="s">
        <v>19</v>
      </c>
    </row>
    <row r="12" ht="19.5" customHeight="1">
      <c r="A12" s="15">
        <v>10.0</v>
      </c>
      <c r="B12" s="16" t="s">
        <v>42</v>
      </c>
      <c r="C12" s="17" t="s">
        <v>43</v>
      </c>
      <c r="D12" s="8" t="s">
        <v>15</v>
      </c>
      <c r="E12" s="16" t="s">
        <v>32</v>
      </c>
      <c r="F12" s="21" t="s">
        <v>24</v>
      </c>
      <c r="G12" s="22">
        <v>2.0</v>
      </c>
      <c r="H12" s="23" t="s">
        <v>33</v>
      </c>
      <c r="I12" s="17"/>
      <c r="J12" s="18"/>
      <c r="K12" s="19" t="str">
        <f>HYPERLINK("https://leetcode.com/problems/boats-to-save-people/","🔗 Open")</f>
        <v>🔗 Open</v>
      </c>
      <c r="L12" s="20" t="s">
        <v>19</v>
      </c>
    </row>
    <row r="13" ht="19.5" customHeight="1">
      <c r="A13" s="5">
        <v>11.0</v>
      </c>
      <c r="B13" s="6" t="s">
        <v>44</v>
      </c>
      <c r="C13" s="7" t="s">
        <v>45</v>
      </c>
      <c r="D13" s="8" t="s">
        <v>15</v>
      </c>
      <c r="E13" s="6" t="s">
        <v>32</v>
      </c>
      <c r="F13" s="21" t="s">
        <v>24</v>
      </c>
      <c r="G13" s="24">
        <v>3.0</v>
      </c>
      <c r="H13" s="23" t="s">
        <v>33</v>
      </c>
      <c r="I13" s="7"/>
      <c r="J13" s="12"/>
      <c r="K13" s="13" t="str">
        <f>HYPERLINK("https://leetcode.com/problems/4sum/","🔗 Open")</f>
        <v>🔗 Open</v>
      </c>
      <c r="L13" s="14" t="s">
        <v>19</v>
      </c>
    </row>
    <row r="14" ht="19.5" customHeight="1">
      <c r="A14" s="15">
        <v>12.0</v>
      </c>
      <c r="B14" s="16" t="s">
        <v>46</v>
      </c>
      <c r="C14" s="17" t="s">
        <v>47</v>
      </c>
      <c r="D14" s="8" t="s">
        <v>15</v>
      </c>
      <c r="E14" s="16" t="s">
        <v>48</v>
      </c>
      <c r="F14" s="25" t="s">
        <v>49</v>
      </c>
      <c r="G14" s="24">
        <v>3.0</v>
      </c>
      <c r="H14" s="23" t="s">
        <v>33</v>
      </c>
      <c r="I14" s="17"/>
      <c r="J14" s="18"/>
      <c r="K14" s="19" t="str">
        <f>HYPERLINK("https://leetcode.com/problems/trapping-rain-water/","🔗 Open")</f>
        <v>🔗 Open</v>
      </c>
      <c r="L14" s="20" t="s">
        <v>19</v>
      </c>
    </row>
    <row r="15" ht="19.5" customHeight="1">
      <c r="A15" s="5">
        <v>13.0</v>
      </c>
      <c r="B15" s="6" t="s">
        <v>50</v>
      </c>
      <c r="C15" s="7" t="s">
        <v>51</v>
      </c>
      <c r="D15" s="8" t="s">
        <v>15</v>
      </c>
      <c r="E15" s="6" t="s">
        <v>52</v>
      </c>
      <c r="F15" s="21" t="s">
        <v>24</v>
      </c>
      <c r="G15" s="24">
        <v>3.0</v>
      </c>
      <c r="H15" s="23" t="s">
        <v>33</v>
      </c>
      <c r="I15" s="7"/>
      <c r="J15" s="12"/>
      <c r="K15" s="13" t="str">
        <f>HYPERLINK("https://leetcode.com/problems/partition-labels/","🔗 Open")</f>
        <v>🔗 Open</v>
      </c>
      <c r="L15" s="14" t="s">
        <v>19</v>
      </c>
    </row>
    <row r="16" ht="19.5" customHeight="1">
      <c r="A16" s="15">
        <v>14.0</v>
      </c>
      <c r="B16" s="16" t="s">
        <v>53</v>
      </c>
      <c r="C16" s="17" t="s">
        <v>54</v>
      </c>
      <c r="D16" s="8" t="s">
        <v>15</v>
      </c>
      <c r="E16" s="16" t="s">
        <v>32</v>
      </c>
      <c r="F16" s="9" t="s">
        <v>17</v>
      </c>
      <c r="G16" s="24">
        <v>3.0</v>
      </c>
      <c r="H16" s="23" t="s">
        <v>33</v>
      </c>
      <c r="I16" s="17"/>
      <c r="J16" s="18"/>
      <c r="K16" s="19" t="str">
        <f>HYPERLINK("https://leetcode.com/problems/squares-of-a-sorted-array/","🔗 Open")</f>
        <v>🔗 Open</v>
      </c>
      <c r="L16" s="20" t="s">
        <v>19</v>
      </c>
    </row>
    <row r="17" ht="19.5" customHeight="1">
      <c r="A17" s="5">
        <v>15.0</v>
      </c>
      <c r="B17" s="6" t="s">
        <v>55</v>
      </c>
      <c r="C17" s="7" t="s">
        <v>56</v>
      </c>
      <c r="D17" s="26" t="s">
        <v>57</v>
      </c>
      <c r="E17" s="6" t="s">
        <v>16</v>
      </c>
      <c r="F17" s="9" t="s">
        <v>17</v>
      </c>
      <c r="G17" s="27">
        <v>4.0</v>
      </c>
      <c r="H17" s="23" t="s">
        <v>33</v>
      </c>
      <c r="I17" s="7"/>
      <c r="J17" s="12"/>
      <c r="K17" s="13" t="str">
        <f>HYPERLINK("https://leetcode.com/problems/running-sum-of-1d-array/","🔗 Open")</f>
        <v>🔗 Open</v>
      </c>
      <c r="L17" s="14" t="s">
        <v>19</v>
      </c>
    </row>
    <row r="18" ht="19.5" customHeight="1">
      <c r="A18" s="15">
        <v>16.0</v>
      </c>
      <c r="B18" s="16" t="s">
        <v>58</v>
      </c>
      <c r="C18" s="17" t="s">
        <v>59</v>
      </c>
      <c r="D18" s="26" t="s">
        <v>57</v>
      </c>
      <c r="E18" s="16" t="s">
        <v>16</v>
      </c>
      <c r="F18" s="9" t="s">
        <v>17</v>
      </c>
      <c r="G18" s="27">
        <v>4.0</v>
      </c>
      <c r="H18" s="23" t="s">
        <v>33</v>
      </c>
      <c r="I18" s="17"/>
      <c r="J18" s="18"/>
      <c r="K18" s="19" t="str">
        <f>HYPERLINK("https://leetcode.com/problems/find-pivot-index/","🔗 Open")</f>
        <v>🔗 Open</v>
      </c>
      <c r="L18" s="20" t="s">
        <v>19</v>
      </c>
    </row>
    <row r="19" ht="19.5" customHeight="1">
      <c r="A19" s="5">
        <v>17.0</v>
      </c>
      <c r="B19" s="6" t="s">
        <v>60</v>
      </c>
      <c r="C19" s="7" t="s">
        <v>61</v>
      </c>
      <c r="D19" s="26" t="s">
        <v>57</v>
      </c>
      <c r="E19" s="6" t="s">
        <v>16</v>
      </c>
      <c r="F19" s="9" t="s">
        <v>17</v>
      </c>
      <c r="G19" s="27">
        <v>4.0</v>
      </c>
      <c r="H19" s="23" t="s">
        <v>33</v>
      </c>
      <c r="I19" s="7"/>
      <c r="J19" s="12"/>
      <c r="K19" s="13" t="str">
        <f>HYPERLINK("https://leetcode.com/problems/range-sum-query-immutable/","🔗 Open")</f>
        <v>🔗 Open</v>
      </c>
      <c r="L19" s="14" t="s">
        <v>19</v>
      </c>
    </row>
    <row r="20" ht="19.5" customHeight="1">
      <c r="A20" s="15">
        <v>18.0</v>
      </c>
      <c r="B20" s="16" t="s">
        <v>62</v>
      </c>
      <c r="C20" s="17" t="s">
        <v>63</v>
      </c>
      <c r="D20" s="26" t="s">
        <v>57</v>
      </c>
      <c r="E20" s="16" t="s">
        <v>64</v>
      </c>
      <c r="F20" s="21" t="s">
        <v>24</v>
      </c>
      <c r="G20" s="27">
        <v>4.0</v>
      </c>
      <c r="H20" s="23" t="s">
        <v>33</v>
      </c>
      <c r="I20" s="17"/>
      <c r="J20" s="18"/>
      <c r="K20" s="19" t="str">
        <f>HYPERLINK("https://leetcode.com/problems/product-of-array-except-self/","🔗 Open")</f>
        <v>🔗 Open</v>
      </c>
      <c r="L20" s="20" t="s">
        <v>19</v>
      </c>
    </row>
    <row r="21" ht="19.5" customHeight="1">
      <c r="A21" s="5">
        <v>19.0</v>
      </c>
      <c r="B21" s="6" t="s">
        <v>65</v>
      </c>
      <c r="C21" s="7" t="s">
        <v>66</v>
      </c>
      <c r="D21" s="26" t="s">
        <v>57</v>
      </c>
      <c r="E21" s="6" t="s">
        <v>67</v>
      </c>
      <c r="F21" s="21" t="s">
        <v>24</v>
      </c>
      <c r="G21" s="27">
        <v>4.0</v>
      </c>
      <c r="H21" s="23" t="s">
        <v>33</v>
      </c>
      <c r="I21" s="7"/>
      <c r="J21" s="12"/>
      <c r="K21" s="13" t="str">
        <f>HYPERLINK("https://leetcode.com/problems/subarray-sum-equals-k/","🔗 Open")</f>
        <v>🔗 Open</v>
      </c>
      <c r="L21" s="14" t="s">
        <v>19</v>
      </c>
    </row>
    <row r="22" ht="19.5" customHeight="1">
      <c r="A22" s="15">
        <v>20.0</v>
      </c>
      <c r="B22" s="16" t="s">
        <v>68</v>
      </c>
      <c r="C22" s="17" t="s">
        <v>69</v>
      </c>
      <c r="D22" s="26" t="s">
        <v>57</v>
      </c>
      <c r="E22" s="16" t="s">
        <v>70</v>
      </c>
      <c r="F22" s="21" t="s">
        <v>24</v>
      </c>
      <c r="G22" s="28">
        <v>5.0</v>
      </c>
      <c r="H22" s="23" t="s">
        <v>33</v>
      </c>
      <c r="I22" s="17"/>
      <c r="J22" s="18"/>
      <c r="K22" s="19" t="str">
        <f>HYPERLINK("https://leetcode.com/problems/continuous-subarray-sum/","🔗 Open")</f>
        <v>🔗 Open</v>
      </c>
      <c r="L22" s="20" t="s">
        <v>19</v>
      </c>
    </row>
    <row r="23" ht="19.5" customHeight="1">
      <c r="A23" s="5">
        <v>21.0</v>
      </c>
      <c r="B23" s="6" t="s">
        <v>71</v>
      </c>
      <c r="C23" s="7" t="s">
        <v>72</v>
      </c>
      <c r="D23" s="26" t="s">
        <v>57</v>
      </c>
      <c r="E23" s="6" t="s">
        <v>70</v>
      </c>
      <c r="F23" s="21" t="s">
        <v>24</v>
      </c>
      <c r="G23" s="28">
        <v>5.0</v>
      </c>
      <c r="H23" s="23" t="s">
        <v>33</v>
      </c>
      <c r="I23" s="7"/>
      <c r="J23" s="12"/>
      <c r="K23" s="13" t="str">
        <f>HYPERLINK("https://leetcode.com/problems/subarray-sums-divisible-by-k/","🔗 Open")</f>
        <v>🔗 Open</v>
      </c>
      <c r="L23" s="14" t="s">
        <v>19</v>
      </c>
    </row>
    <row r="24" ht="19.5" customHeight="1">
      <c r="A24" s="15">
        <v>22.0</v>
      </c>
      <c r="B24" s="16" t="s">
        <v>73</v>
      </c>
      <c r="C24" s="17" t="s">
        <v>74</v>
      </c>
      <c r="D24" s="26" t="s">
        <v>57</v>
      </c>
      <c r="E24" s="16" t="s">
        <v>67</v>
      </c>
      <c r="F24" s="21" t="s">
        <v>24</v>
      </c>
      <c r="G24" s="28">
        <v>5.0</v>
      </c>
      <c r="H24" s="23" t="s">
        <v>33</v>
      </c>
      <c r="I24" s="17"/>
      <c r="J24" s="18"/>
      <c r="K24" s="19" t="str">
        <f>HYPERLINK("https://practice.geeksforgeeks.org/problems/longest-sub-array-with-sum-k0809/1","🔗 Open")</f>
        <v>🔗 Open</v>
      </c>
      <c r="L24" s="20" t="s">
        <v>19</v>
      </c>
    </row>
    <row r="25" ht="19.5" customHeight="1">
      <c r="A25" s="5">
        <v>23.0</v>
      </c>
      <c r="B25" s="6" t="s">
        <v>75</v>
      </c>
      <c r="C25" s="7" t="s">
        <v>76</v>
      </c>
      <c r="D25" s="26" t="s">
        <v>57</v>
      </c>
      <c r="E25" s="6" t="s">
        <v>77</v>
      </c>
      <c r="F25" s="21" t="s">
        <v>24</v>
      </c>
      <c r="G25" s="28">
        <v>5.0</v>
      </c>
      <c r="H25" s="23" t="s">
        <v>33</v>
      </c>
      <c r="I25" s="7"/>
      <c r="J25" s="12"/>
      <c r="K25" s="13" t="str">
        <f>HYPERLINK("https://leetcode.com/problems/matrix-block-sum/","🔗 Open")</f>
        <v>🔗 Open</v>
      </c>
      <c r="L25" s="14" t="s">
        <v>19</v>
      </c>
    </row>
    <row r="26" ht="19.5" customHeight="1">
      <c r="A26" s="15">
        <v>24.0</v>
      </c>
      <c r="B26" s="16" t="s">
        <v>78</v>
      </c>
      <c r="C26" s="17" t="s">
        <v>79</v>
      </c>
      <c r="D26" s="26" t="s">
        <v>57</v>
      </c>
      <c r="E26" s="16" t="s">
        <v>80</v>
      </c>
      <c r="F26" s="21" t="s">
        <v>24</v>
      </c>
      <c r="G26" s="28">
        <v>5.0</v>
      </c>
      <c r="H26" s="23" t="s">
        <v>33</v>
      </c>
      <c r="I26" s="17"/>
      <c r="J26" s="18"/>
      <c r="K26" s="19" t="str">
        <f>HYPERLINK("https://leetcode.com/problems/range-addition/","🔗 Open")</f>
        <v>🔗 Open</v>
      </c>
      <c r="L26" s="20" t="s">
        <v>19</v>
      </c>
    </row>
    <row r="27" ht="19.5" customHeight="1">
      <c r="A27" s="5">
        <v>25.0</v>
      </c>
      <c r="B27" s="6" t="s">
        <v>81</v>
      </c>
      <c r="C27" s="7" t="s">
        <v>74</v>
      </c>
      <c r="D27" s="29" t="s">
        <v>82</v>
      </c>
      <c r="E27" s="6" t="s">
        <v>83</v>
      </c>
      <c r="F27" s="9" t="s">
        <v>17</v>
      </c>
      <c r="G27" s="30">
        <v>6.0</v>
      </c>
      <c r="H27" s="23" t="s">
        <v>33</v>
      </c>
      <c r="I27" s="7"/>
      <c r="J27" s="12"/>
      <c r="K27" s="13" t="str">
        <f>HYPERLINK("https://practice.geeksforgeeks.org/problems/max-sum-subarray-of-size-k5313/1","🔗 Open")</f>
        <v>🔗 Open</v>
      </c>
      <c r="L27" s="14" t="s">
        <v>19</v>
      </c>
    </row>
    <row r="28" ht="19.5" customHeight="1">
      <c r="A28" s="15">
        <v>26.0</v>
      </c>
      <c r="B28" s="16" t="s">
        <v>84</v>
      </c>
      <c r="C28" s="17" t="s">
        <v>74</v>
      </c>
      <c r="D28" s="29" t="s">
        <v>82</v>
      </c>
      <c r="E28" s="16" t="s">
        <v>83</v>
      </c>
      <c r="F28" s="21" t="s">
        <v>24</v>
      </c>
      <c r="G28" s="30">
        <v>6.0</v>
      </c>
      <c r="H28" s="23" t="s">
        <v>33</v>
      </c>
      <c r="I28" s="17"/>
      <c r="J28" s="18"/>
      <c r="K28" s="19" t="str">
        <f>HYPERLINK("https://practice.geeksforgeeks.org/problems/first-negative-in-every-window-of-size-k3345/1","🔗 Open")</f>
        <v>🔗 Open</v>
      </c>
      <c r="L28" s="20" t="s">
        <v>19</v>
      </c>
    </row>
    <row r="29" ht="19.5" customHeight="1">
      <c r="A29" s="5">
        <v>27.0</v>
      </c>
      <c r="B29" s="6" t="s">
        <v>85</v>
      </c>
      <c r="C29" s="7" t="s">
        <v>86</v>
      </c>
      <c r="D29" s="29" t="s">
        <v>82</v>
      </c>
      <c r="E29" s="6" t="s">
        <v>83</v>
      </c>
      <c r="F29" s="9" t="s">
        <v>17</v>
      </c>
      <c r="G29" s="30">
        <v>6.0</v>
      </c>
      <c r="H29" s="23" t="s">
        <v>33</v>
      </c>
      <c r="I29" s="7"/>
      <c r="J29" s="12"/>
      <c r="K29" s="13" t="str">
        <f>HYPERLINK("https://leetcode.com/problems/maximum-average-subarray-i/","🔗 Open")</f>
        <v>🔗 Open</v>
      </c>
      <c r="L29" s="14" t="s">
        <v>19</v>
      </c>
    </row>
    <row r="30" ht="19.5" customHeight="1">
      <c r="A30" s="15">
        <v>28.0</v>
      </c>
      <c r="B30" s="16" t="s">
        <v>87</v>
      </c>
      <c r="C30" s="17" t="s">
        <v>88</v>
      </c>
      <c r="D30" s="29" t="s">
        <v>82</v>
      </c>
      <c r="E30" s="16" t="s">
        <v>89</v>
      </c>
      <c r="F30" s="21" t="s">
        <v>24</v>
      </c>
      <c r="G30" s="30">
        <v>6.0</v>
      </c>
      <c r="H30" s="23" t="s">
        <v>33</v>
      </c>
      <c r="I30" s="17"/>
      <c r="J30" s="18"/>
      <c r="K30" s="19" t="str">
        <f>HYPERLINK("https://leetcode.com/problems/longest-substring-without-repeating-characters/","🔗 Open")</f>
        <v>🔗 Open</v>
      </c>
      <c r="L30" s="20" t="s">
        <v>19</v>
      </c>
    </row>
    <row r="31" ht="19.5" customHeight="1">
      <c r="A31" s="5">
        <v>29.0</v>
      </c>
      <c r="B31" s="6" t="s">
        <v>90</v>
      </c>
      <c r="C31" s="7" t="s">
        <v>91</v>
      </c>
      <c r="D31" s="29" t="s">
        <v>82</v>
      </c>
      <c r="E31" s="6" t="s">
        <v>89</v>
      </c>
      <c r="F31" s="21" t="s">
        <v>24</v>
      </c>
      <c r="G31" s="30">
        <v>6.0</v>
      </c>
      <c r="H31" s="23" t="s">
        <v>33</v>
      </c>
      <c r="I31" s="7"/>
      <c r="J31" s="12"/>
      <c r="K31" s="13" t="str">
        <f>HYPERLINK("https://leetcode.com/problems/minimum-size-subarray-sum/","🔗 Open")</f>
        <v>🔗 Open</v>
      </c>
      <c r="L31" s="14" t="s">
        <v>19</v>
      </c>
    </row>
    <row r="32" ht="19.5" customHeight="1">
      <c r="A32" s="15">
        <v>30.0</v>
      </c>
      <c r="B32" s="16" t="s">
        <v>92</v>
      </c>
      <c r="C32" s="17" t="s">
        <v>93</v>
      </c>
      <c r="D32" s="29" t="s">
        <v>82</v>
      </c>
      <c r="E32" s="16" t="s">
        <v>89</v>
      </c>
      <c r="F32" s="21" t="s">
        <v>24</v>
      </c>
      <c r="G32" s="30">
        <v>6.0</v>
      </c>
      <c r="H32" s="23" t="s">
        <v>33</v>
      </c>
      <c r="I32" s="17"/>
      <c r="J32" s="18"/>
      <c r="K32" s="19" t="str">
        <f>HYPERLINK("https://leetcode.com/problems/fruit-into-baskets/","🔗 Open")</f>
        <v>🔗 Open</v>
      </c>
      <c r="L32" s="20" t="s">
        <v>19</v>
      </c>
    </row>
    <row r="33" ht="19.5" customHeight="1">
      <c r="A33" s="5">
        <v>31.0</v>
      </c>
      <c r="B33" s="6" t="s">
        <v>94</v>
      </c>
      <c r="C33" s="7" t="s">
        <v>95</v>
      </c>
      <c r="D33" s="29" t="s">
        <v>82</v>
      </c>
      <c r="E33" s="6" t="s">
        <v>96</v>
      </c>
      <c r="F33" s="21" t="s">
        <v>24</v>
      </c>
      <c r="G33" s="22">
        <v>7.0</v>
      </c>
      <c r="H33" s="23" t="s">
        <v>33</v>
      </c>
      <c r="I33" s="7"/>
      <c r="J33" s="12"/>
      <c r="K33" s="13" t="str">
        <f>HYPERLINK("https://leetcode.com/problems/permutation-in-string/","🔗 Open")</f>
        <v>🔗 Open</v>
      </c>
      <c r="L33" s="14" t="s">
        <v>19</v>
      </c>
    </row>
    <row r="34" ht="19.5" customHeight="1">
      <c r="A34" s="15">
        <v>32.0</v>
      </c>
      <c r="B34" s="16" t="s">
        <v>97</v>
      </c>
      <c r="C34" s="17" t="s">
        <v>98</v>
      </c>
      <c r="D34" s="29" t="s">
        <v>82</v>
      </c>
      <c r="E34" s="16" t="s">
        <v>96</v>
      </c>
      <c r="F34" s="21" t="s">
        <v>24</v>
      </c>
      <c r="G34" s="22">
        <v>7.0</v>
      </c>
      <c r="H34" s="23" t="s">
        <v>33</v>
      </c>
      <c r="I34" s="17"/>
      <c r="J34" s="18"/>
      <c r="K34" s="19" t="str">
        <f>HYPERLINK("https://leetcode.com/problems/find-all-anagrams-in-a-string/","🔗 Open")</f>
        <v>🔗 Open</v>
      </c>
      <c r="L34" s="20" t="s">
        <v>19</v>
      </c>
    </row>
    <row r="35" ht="19.5" customHeight="1">
      <c r="A35" s="5">
        <v>33.0</v>
      </c>
      <c r="B35" s="6" t="s">
        <v>99</v>
      </c>
      <c r="C35" s="7" t="s">
        <v>100</v>
      </c>
      <c r="D35" s="29" t="s">
        <v>82</v>
      </c>
      <c r="E35" s="6" t="s">
        <v>101</v>
      </c>
      <c r="F35" s="21" t="s">
        <v>24</v>
      </c>
      <c r="G35" s="22">
        <v>7.0</v>
      </c>
      <c r="H35" s="23" t="s">
        <v>33</v>
      </c>
      <c r="I35" s="7"/>
      <c r="J35" s="12"/>
      <c r="K35" s="13" t="str">
        <f>HYPERLINK("https://leetcode.com/problems/longest-substring-with-at-most-k-distinct-characters/","🔗 Open")</f>
        <v>🔗 Open</v>
      </c>
      <c r="L35" s="14" t="s">
        <v>19</v>
      </c>
    </row>
    <row r="36" ht="19.5" customHeight="1">
      <c r="A36" s="15">
        <v>34.0</v>
      </c>
      <c r="B36" s="16" t="s">
        <v>102</v>
      </c>
      <c r="C36" s="17" t="s">
        <v>103</v>
      </c>
      <c r="D36" s="29" t="s">
        <v>82</v>
      </c>
      <c r="E36" s="16" t="s">
        <v>101</v>
      </c>
      <c r="F36" s="21" t="s">
        <v>24</v>
      </c>
      <c r="G36" s="22">
        <v>7.0</v>
      </c>
      <c r="H36" s="23" t="s">
        <v>33</v>
      </c>
      <c r="I36" s="17"/>
      <c r="J36" s="18"/>
      <c r="K36" s="19" t="str">
        <f>HYPERLINK("https://leetcode.com/problems/longest-repeating-character-replacement/","🔗 Open")</f>
        <v>🔗 Open</v>
      </c>
      <c r="L36" s="20" t="s">
        <v>19</v>
      </c>
    </row>
    <row r="37" ht="19.5" customHeight="1">
      <c r="A37" s="5">
        <v>35.0</v>
      </c>
      <c r="B37" s="6" t="s">
        <v>104</v>
      </c>
      <c r="C37" s="7" t="s">
        <v>105</v>
      </c>
      <c r="D37" s="29" t="s">
        <v>82</v>
      </c>
      <c r="E37" s="6" t="s">
        <v>89</v>
      </c>
      <c r="F37" s="21" t="s">
        <v>24</v>
      </c>
      <c r="G37" s="22">
        <v>7.0</v>
      </c>
      <c r="H37" s="23" t="s">
        <v>33</v>
      </c>
      <c r="I37" s="7"/>
      <c r="J37" s="12"/>
      <c r="K37" s="13" t="str">
        <f>HYPERLINK("https://leetcode.com/problems/max-consecutive-ones-iii/","🔗 Open")</f>
        <v>🔗 Open</v>
      </c>
      <c r="L37" s="14" t="s">
        <v>19</v>
      </c>
    </row>
    <row r="38" ht="19.5" customHeight="1">
      <c r="A38" s="15">
        <v>36.0</v>
      </c>
      <c r="B38" s="16" t="s">
        <v>106</v>
      </c>
      <c r="C38" s="17" t="s">
        <v>107</v>
      </c>
      <c r="D38" s="29" t="s">
        <v>82</v>
      </c>
      <c r="E38" s="16" t="s">
        <v>49</v>
      </c>
      <c r="F38" s="25" t="s">
        <v>49</v>
      </c>
      <c r="G38" s="22">
        <v>7.0</v>
      </c>
      <c r="H38" s="23" t="s">
        <v>33</v>
      </c>
      <c r="I38" s="17"/>
      <c r="J38" s="18"/>
      <c r="K38" s="19" t="str">
        <f>HYPERLINK("https://leetcode.com/problems/minimum-window-substring/","🔗 Open")</f>
        <v>🔗 Open</v>
      </c>
      <c r="L38" s="20" t="s">
        <v>19</v>
      </c>
    </row>
    <row r="39" ht="19.5" customHeight="1">
      <c r="A39" s="5">
        <v>37.0</v>
      </c>
      <c r="B39" s="6" t="s">
        <v>108</v>
      </c>
      <c r="C39" s="7" t="s">
        <v>109</v>
      </c>
      <c r="D39" s="29" t="s">
        <v>82</v>
      </c>
      <c r="E39" s="6" t="s">
        <v>110</v>
      </c>
      <c r="F39" s="25" t="s">
        <v>49</v>
      </c>
      <c r="G39" s="22">
        <v>7.0</v>
      </c>
      <c r="H39" s="23" t="s">
        <v>33</v>
      </c>
      <c r="I39" s="7"/>
      <c r="J39" s="12"/>
      <c r="K39" s="13" t="str">
        <f>HYPERLINK("https://leetcode.com/problems/sliding-window-maximum/","🔗 Open")</f>
        <v>🔗 Open</v>
      </c>
      <c r="L39" s="14" t="s">
        <v>19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dataValidations>
    <dataValidation type="list" allowBlank="1" sqref="H3:H39">
      <formula1>"To Do,In Progress,Done,Need Review,Skipped"</formula1>
    </dataValidation>
    <dataValidation type="list" allowBlank="1" sqref="L3:L39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7.0"/>
    <col customWidth="1" min="4" max="4" width="5.0"/>
    <col customWidth="1" min="5" max="5" width="12.0"/>
    <col customWidth="1" min="6" max="6" width="5.0"/>
    <col customWidth="1" min="7" max="7" width="36.0"/>
    <col customWidth="1" min="8" max="8" width="11.0"/>
    <col customWidth="1" min="9" max="26" width="8.71"/>
  </cols>
  <sheetData>
    <row r="1" ht="33.75" customHeight="1">
      <c r="A1" s="31" t="s">
        <v>111</v>
      </c>
      <c r="B1" s="2"/>
      <c r="C1" s="2"/>
      <c r="D1" s="2"/>
      <c r="E1" s="2"/>
      <c r="F1" s="2"/>
      <c r="G1" s="2"/>
      <c r="H1" s="3"/>
    </row>
    <row r="2" ht="25.5" customHeight="1">
      <c r="A2" s="32" t="s">
        <v>7</v>
      </c>
      <c r="B2" s="32" t="s">
        <v>112</v>
      </c>
      <c r="C2" s="32" t="s">
        <v>3</v>
      </c>
      <c r="D2" s="32" t="s">
        <v>113</v>
      </c>
      <c r="E2" s="32" t="s">
        <v>6</v>
      </c>
      <c r="F2" s="32" t="s">
        <v>114</v>
      </c>
      <c r="G2" s="32" t="s">
        <v>115</v>
      </c>
      <c r="H2" s="32" t="s">
        <v>116</v>
      </c>
    </row>
    <row r="3" ht="19.5" customHeight="1">
      <c r="A3" s="33" t="s">
        <v>117</v>
      </c>
      <c r="B3" s="34" t="s">
        <v>118</v>
      </c>
      <c r="C3" s="35" t="s">
        <v>14</v>
      </c>
      <c r="D3" s="35" t="s">
        <v>119</v>
      </c>
      <c r="E3" s="9" t="s">
        <v>17</v>
      </c>
      <c r="F3" s="36" t="s">
        <v>114</v>
      </c>
      <c r="G3" s="37" t="str">
        <f>HYPERLINK("https://leetcode.com/problems/valid-palindrome/","Valid Palindrome")</f>
        <v>Valid Palindrome</v>
      </c>
      <c r="H3" s="35" t="s">
        <v>120</v>
      </c>
    </row>
    <row r="4" ht="19.5" customHeight="1">
      <c r="A4" s="38"/>
      <c r="B4" s="38"/>
      <c r="C4" s="35" t="s">
        <v>21</v>
      </c>
      <c r="D4" s="35" t="s">
        <v>119</v>
      </c>
      <c r="E4" s="9" t="s">
        <v>17</v>
      </c>
      <c r="F4" s="36" t="s">
        <v>114</v>
      </c>
      <c r="G4" s="37" t="str">
        <f>HYPERLINK("https://leetcode.com/problems/reverse-string/","Reverse String")</f>
        <v>Reverse String</v>
      </c>
      <c r="H4" s="35" t="s">
        <v>120</v>
      </c>
    </row>
    <row r="5" ht="19.5" customHeight="1">
      <c r="A5" s="38"/>
      <c r="B5" s="38"/>
      <c r="C5" s="35" t="s">
        <v>23</v>
      </c>
      <c r="D5" s="35" t="s">
        <v>119</v>
      </c>
      <c r="E5" s="21" t="s">
        <v>24</v>
      </c>
      <c r="F5" s="36" t="s">
        <v>114</v>
      </c>
      <c r="G5" s="37" t="str">
        <f>HYPERLINK("https://leetcode.com/problems/two-sum-ii-input-array-is-sorted/","Two Sum II – Sorted Array")</f>
        <v>Two Sum II – Sorted Array</v>
      </c>
      <c r="H5" s="35" t="s">
        <v>121</v>
      </c>
    </row>
    <row r="6" ht="19.5" customHeight="1">
      <c r="A6" s="38"/>
      <c r="B6" s="38"/>
      <c r="C6" s="35" t="s">
        <v>26</v>
      </c>
      <c r="D6" s="35" t="s">
        <v>119</v>
      </c>
      <c r="E6" s="9" t="s">
        <v>17</v>
      </c>
      <c r="F6" s="36" t="s">
        <v>114</v>
      </c>
      <c r="G6" s="37" t="str">
        <f>HYPERLINK("https://leetcode.com/problems/remove-duplicates-from-sorted-array/","Remove Duplicates from Sorted Array")</f>
        <v>Remove Duplicates from Sorted Array</v>
      </c>
      <c r="H6" s="35" t="s">
        <v>120</v>
      </c>
    </row>
    <row r="7" ht="19.5" customHeight="1">
      <c r="A7" s="39"/>
      <c r="B7" s="39"/>
      <c r="C7" s="35" t="s">
        <v>29</v>
      </c>
      <c r="D7" s="35" t="s">
        <v>119</v>
      </c>
      <c r="E7" s="9" t="s">
        <v>17</v>
      </c>
      <c r="F7" s="36" t="s">
        <v>114</v>
      </c>
      <c r="G7" s="37" t="str">
        <f>HYPERLINK("https://leetcode.com/problems/move-zeroes/","Move Zeroes")</f>
        <v>Move Zeroes</v>
      </c>
      <c r="H7" s="35" t="s">
        <v>120</v>
      </c>
    </row>
    <row r="8" ht="4.5" customHeight="1">
      <c r="A8" s="40"/>
      <c r="B8" s="41"/>
      <c r="C8" s="41"/>
      <c r="D8" s="41"/>
      <c r="E8" s="41"/>
      <c r="F8" s="41"/>
      <c r="G8" s="41"/>
      <c r="H8" s="42"/>
    </row>
    <row r="9" ht="19.5" customHeight="1">
      <c r="A9" s="33" t="s">
        <v>122</v>
      </c>
      <c r="B9" s="34" t="s">
        <v>123</v>
      </c>
      <c r="C9" s="35" t="s">
        <v>31</v>
      </c>
      <c r="D9" s="35" t="s">
        <v>119</v>
      </c>
      <c r="E9" s="21" t="s">
        <v>24</v>
      </c>
      <c r="F9" s="43" t="s">
        <v>124</v>
      </c>
      <c r="G9" s="37" t="str">
        <f>HYPERLINK("https://leetcode.com/problems/container-with-most-water/","Container With Most Water")</f>
        <v>Container With Most Water</v>
      </c>
      <c r="H9" s="35" t="s">
        <v>121</v>
      </c>
    </row>
    <row r="10" ht="19.5" customHeight="1">
      <c r="A10" s="38"/>
      <c r="B10" s="38"/>
      <c r="C10" s="35" t="s">
        <v>35</v>
      </c>
      <c r="D10" s="35" t="s">
        <v>119</v>
      </c>
      <c r="E10" s="9" t="s">
        <v>17</v>
      </c>
      <c r="F10" s="43" t="s">
        <v>124</v>
      </c>
      <c r="G10" s="37" t="str">
        <f>HYPERLINK("https://leetcode.com/problems/linked-list-cycle/","Linked List Cycle")</f>
        <v>Linked List Cycle</v>
      </c>
      <c r="H10" s="35" t="s">
        <v>120</v>
      </c>
    </row>
    <row r="11" ht="19.5" customHeight="1">
      <c r="A11" s="38"/>
      <c r="B11" s="38"/>
      <c r="C11" s="35" t="s">
        <v>38</v>
      </c>
      <c r="D11" s="35" t="s">
        <v>119</v>
      </c>
      <c r="E11" s="21" t="s">
        <v>24</v>
      </c>
      <c r="F11" s="43" t="s">
        <v>124</v>
      </c>
      <c r="G11" s="37" t="str">
        <f>HYPERLINK("https://leetcode.com/problems/3sum/","3Sum")</f>
        <v>3Sum</v>
      </c>
      <c r="H11" s="35" t="s">
        <v>121</v>
      </c>
    </row>
    <row r="12" ht="19.5" customHeight="1">
      <c r="A12" s="38"/>
      <c r="B12" s="38"/>
      <c r="C12" s="35" t="s">
        <v>40</v>
      </c>
      <c r="D12" s="35" t="s">
        <v>119</v>
      </c>
      <c r="E12" s="21" t="s">
        <v>24</v>
      </c>
      <c r="F12" s="43" t="s">
        <v>124</v>
      </c>
      <c r="G12" s="37" t="str">
        <f>HYPERLINK("https://leetcode.com/problems/sort-colors/","Sort Colors (Dutch Flag)")</f>
        <v>Sort Colors (Dutch Flag)</v>
      </c>
      <c r="H12" s="35" t="s">
        <v>121</v>
      </c>
    </row>
    <row r="13" ht="19.5" customHeight="1">
      <c r="A13" s="39"/>
      <c r="B13" s="39"/>
      <c r="C13" s="35" t="s">
        <v>43</v>
      </c>
      <c r="D13" s="35" t="s">
        <v>119</v>
      </c>
      <c r="E13" s="21" t="s">
        <v>24</v>
      </c>
      <c r="F13" s="43" t="s">
        <v>124</v>
      </c>
      <c r="G13" s="37" t="str">
        <f>HYPERLINK("https://leetcode.com/problems/boats-to-save-people/","Boats to Save People")</f>
        <v>Boats to Save People</v>
      </c>
      <c r="H13" s="35" t="s">
        <v>121</v>
      </c>
    </row>
    <row r="14" ht="4.5" customHeight="1">
      <c r="A14" s="40"/>
      <c r="B14" s="41"/>
      <c r="C14" s="41"/>
      <c r="D14" s="41"/>
      <c r="E14" s="41"/>
      <c r="F14" s="41"/>
      <c r="G14" s="41"/>
      <c r="H14" s="42"/>
    </row>
    <row r="15" ht="19.5" customHeight="1">
      <c r="A15" s="33" t="s">
        <v>125</v>
      </c>
      <c r="B15" s="34" t="s">
        <v>126</v>
      </c>
      <c r="C15" s="35" t="s">
        <v>45</v>
      </c>
      <c r="D15" s="35" t="s">
        <v>119</v>
      </c>
      <c r="E15" s="21" t="s">
        <v>24</v>
      </c>
      <c r="F15" s="43" t="s">
        <v>124</v>
      </c>
      <c r="G15" s="37" t="str">
        <f>HYPERLINK("https://leetcode.com/problems/4sum/","4Sum")</f>
        <v>4Sum</v>
      </c>
      <c r="H15" s="35" t="s">
        <v>121</v>
      </c>
    </row>
    <row r="16" ht="19.5" customHeight="1">
      <c r="A16" s="38"/>
      <c r="B16" s="38"/>
      <c r="C16" s="35" t="s">
        <v>47</v>
      </c>
      <c r="D16" s="35" t="s">
        <v>119</v>
      </c>
      <c r="E16" s="25" t="s">
        <v>49</v>
      </c>
      <c r="F16" s="43" t="s">
        <v>124</v>
      </c>
      <c r="G16" s="37" t="str">
        <f>HYPERLINK("https://leetcode.com/problems/trapping-rain-water/","Trapping Rain Water")</f>
        <v>Trapping Rain Water</v>
      </c>
      <c r="H16" s="35" t="s">
        <v>127</v>
      </c>
    </row>
    <row r="17" ht="19.5" customHeight="1">
      <c r="A17" s="38"/>
      <c r="B17" s="38"/>
      <c r="C17" s="35" t="s">
        <v>51</v>
      </c>
      <c r="D17" s="35" t="s">
        <v>119</v>
      </c>
      <c r="E17" s="21" t="s">
        <v>24</v>
      </c>
      <c r="F17" s="43" t="s">
        <v>124</v>
      </c>
      <c r="G17" s="37" t="str">
        <f>HYPERLINK("https://leetcode.com/problems/partition-labels/","Partition Labels")</f>
        <v>Partition Labels</v>
      </c>
      <c r="H17" s="35" t="s">
        <v>121</v>
      </c>
    </row>
    <row r="18" ht="19.5" customHeight="1">
      <c r="A18" s="39"/>
      <c r="B18" s="39"/>
      <c r="C18" s="35" t="s">
        <v>54</v>
      </c>
      <c r="D18" s="35" t="s">
        <v>119</v>
      </c>
      <c r="E18" s="9" t="s">
        <v>17</v>
      </c>
      <c r="F18" s="43" t="s">
        <v>124</v>
      </c>
      <c r="G18" s="37" t="str">
        <f>HYPERLINK("https://leetcode.com/problems/squares-of-a-sorted-array/","Squares of a Sorted Array")</f>
        <v>Squares of a Sorted Array</v>
      </c>
      <c r="H18" s="35" t="s">
        <v>120</v>
      </c>
    </row>
    <row r="19" ht="4.5" customHeight="1">
      <c r="A19" s="40"/>
      <c r="B19" s="41"/>
      <c r="C19" s="41"/>
      <c r="D19" s="41"/>
      <c r="E19" s="41"/>
      <c r="F19" s="41"/>
      <c r="G19" s="41"/>
      <c r="H19" s="42"/>
    </row>
    <row r="20" ht="19.5" customHeight="1">
      <c r="A20" s="44" t="s">
        <v>128</v>
      </c>
      <c r="B20" s="45" t="s">
        <v>129</v>
      </c>
      <c r="C20" s="46" t="s">
        <v>56</v>
      </c>
      <c r="D20" s="46" t="s">
        <v>119</v>
      </c>
      <c r="E20" s="9" t="s">
        <v>17</v>
      </c>
      <c r="F20" s="47" t="s">
        <v>124</v>
      </c>
      <c r="G20" s="48" t="str">
        <f>HYPERLINK("https://leetcode.com/problems/running-sum-of-1d-array/","Running Sum of 1D Array")</f>
        <v>Running Sum of 1D Array</v>
      </c>
      <c r="H20" s="46" t="s">
        <v>120</v>
      </c>
    </row>
    <row r="21" ht="19.5" customHeight="1">
      <c r="A21" s="38"/>
      <c r="B21" s="38"/>
      <c r="C21" s="46" t="s">
        <v>59</v>
      </c>
      <c r="D21" s="46" t="s">
        <v>119</v>
      </c>
      <c r="E21" s="9" t="s">
        <v>17</v>
      </c>
      <c r="F21" s="47" t="s">
        <v>124</v>
      </c>
      <c r="G21" s="48" t="str">
        <f>HYPERLINK("https://leetcode.com/problems/find-pivot-index/","Find Pivot Index")</f>
        <v>Find Pivot Index</v>
      </c>
      <c r="H21" s="46" t="s">
        <v>120</v>
      </c>
    </row>
    <row r="22" ht="19.5" customHeight="1">
      <c r="A22" s="38"/>
      <c r="B22" s="38"/>
      <c r="C22" s="46" t="s">
        <v>61</v>
      </c>
      <c r="D22" s="46" t="s">
        <v>119</v>
      </c>
      <c r="E22" s="9" t="s">
        <v>17</v>
      </c>
      <c r="F22" s="47" t="s">
        <v>124</v>
      </c>
      <c r="G22" s="48" t="str">
        <f>HYPERLINK("https://leetcode.com/problems/range-sum-query-immutable/","Range Sum Query – Immutable")</f>
        <v>Range Sum Query – Immutable</v>
      </c>
      <c r="H22" s="46" t="s">
        <v>120</v>
      </c>
    </row>
    <row r="23" ht="19.5" customHeight="1">
      <c r="A23" s="38"/>
      <c r="B23" s="38"/>
      <c r="C23" s="46" t="s">
        <v>63</v>
      </c>
      <c r="D23" s="46" t="s">
        <v>119</v>
      </c>
      <c r="E23" s="21" t="s">
        <v>24</v>
      </c>
      <c r="F23" s="47" t="s">
        <v>124</v>
      </c>
      <c r="G23" s="48" t="str">
        <f>HYPERLINK("https://leetcode.com/problems/product-of-array-except-self/","Product of Array Except Self")</f>
        <v>Product of Array Except Self</v>
      </c>
      <c r="H23" s="46" t="s">
        <v>121</v>
      </c>
    </row>
    <row r="24" ht="19.5" customHeight="1">
      <c r="A24" s="39"/>
      <c r="B24" s="39"/>
      <c r="C24" s="46" t="s">
        <v>66</v>
      </c>
      <c r="D24" s="46" t="s">
        <v>119</v>
      </c>
      <c r="E24" s="21" t="s">
        <v>24</v>
      </c>
      <c r="F24" s="47" t="s">
        <v>124</v>
      </c>
      <c r="G24" s="48" t="str">
        <f>HYPERLINK("https://leetcode.com/problems/subarray-sum-equals-k/","Subarray Sum Equals K")</f>
        <v>Subarray Sum Equals K</v>
      </c>
      <c r="H24" s="46" t="s">
        <v>121</v>
      </c>
    </row>
    <row r="25" ht="4.5" customHeight="1">
      <c r="A25" s="40"/>
      <c r="B25" s="41"/>
      <c r="C25" s="41"/>
      <c r="D25" s="41"/>
      <c r="E25" s="41"/>
      <c r="F25" s="41"/>
      <c r="G25" s="41"/>
      <c r="H25" s="42"/>
    </row>
    <row r="26" ht="19.5" customHeight="1">
      <c r="A26" s="44" t="s">
        <v>130</v>
      </c>
      <c r="B26" s="45" t="s">
        <v>131</v>
      </c>
      <c r="C26" s="46" t="s">
        <v>69</v>
      </c>
      <c r="D26" s="46" t="s">
        <v>119</v>
      </c>
      <c r="E26" s="21" t="s">
        <v>24</v>
      </c>
      <c r="F26" s="47" t="s">
        <v>124</v>
      </c>
      <c r="G26" s="48" t="str">
        <f>HYPERLINK("https://leetcode.com/problems/continuous-subarray-sum/","Continuous Subarray Sum")</f>
        <v>Continuous Subarray Sum</v>
      </c>
      <c r="H26" s="46" t="s">
        <v>121</v>
      </c>
    </row>
    <row r="27" ht="19.5" customHeight="1">
      <c r="A27" s="38"/>
      <c r="B27" s="38"/>
      <c r="C27" s="46" t="s">
        <v>72</v>
      </c>
      <c r="D27" s="46" t="s">
        <v>119</v>
      </c>
      <c r="E27" s="21" t="s">
        <v>24</v>
      </c>
      <c r="F27" s="47" t="s">
        <v>124</v>
      </c>
      <c r="G27" s="48" t="str">
        <f>HYPERLINK("https://leetcode.com/problems/subarray-sums-divisible-by-k/","Subarray Sums Divisible by K")</f>
        <v>Subarray Sums Divisible by K</v>
      </c>
      <c r="H27" s="46" t="s">
        <v>121</v>
      </c>
    </row>
    <row r="28" ht="19.5" customHeight="1">
      <c r="A28" s="38"/>
      <c r="B28" s="38"/>
      <c r="C28" s="46" t="s">
        <v>74</v>
      </c>
      <c r="D28" s="46" t="s">
        <v>74</v>
      </c>
      <c r="E28" s="21" t="s">
        <v>24</v>
      </c>
      <c r="F28" s="47" t="s">
        <v>124</v>
      </c>
      <c r="G28" s="48" t="str">
        <f>HYPERLINK("https://practice.geeksforgeeks.org/problems/longest-sub-array-with-sum-k0809/1","Longest Subarray With Sum K")</f>
        <v>Longest Subarray With Sum K</v>
      </c>
      <c r="H28" s="46" t="s">
        <v>121</v>
      </c>
    </row>
    <row r="29" ht="19.5" customHeight="1">
      <c r="A29" s="38"/>
      <c r="B29" s="38"/>
      <c r="C29" s="46" t="s">
        <v>76</v>
      </c>
      <c r="D29" s="46" t="s">
        <v>119</v>
      </c>
      <c r="E29" s="21" t="s">
        <v>24</v>
      </c>
      <c r="F29" s="47" t="s">
        <v>124</v>
      </c>
      <c r="G29" s="48" t="str">
        <f>HYPERLINK("https://leetcode.com/problems/matrix-block-sum/","Matrix Block Sum")</f>
        <v>Matrix Block Sum</v>
      </c>
      <c r="H29" s="46" t="s">
        <v>121</v>
      </c>
    </row>
    <row r="30" ht="19.5" customHeight="1">
      <c r="A30" s="39"/>
      <c r="B30" s="39"/>
      <c r="C30" s="46" t="s">
        <v>79</v>
      </c>
      <c r="D30" s="46" t="s">
        <v>119</v>
      </c>
      <c r="E30" s="21" t="s">
        <v>24</v>
      </c>
      <c r="F30" s="47" t="s">
        <v>124</v>
      </c>
      <c r="G30" s="48" t="str">
        <f>HYPERLINK("https://leetcode.com/problems/range-addition/","Range Addition")</f>
        <v>Range Addition</v>
      </c>
      <c r="H30" s="46" t="s">
        <v>121</v>
      </c>
    </row>
    <row r="31" ht="4.5" customHeight="1">
      <c r="A31" s="40"/>
      <c r="B31" s="41"/>
      <c r="C31" s="41"/>
      <c r="D31" s="41"/>
      <c r="E31" s="41"/>
      <c r="F31" s="41"/>
      <c r="G31" s="41"/>
      <c r="H31" s="42"/>
    </row>
    <row r="32" ht="19.5" customHeight="1">
      <c r="A32" s="49" t="s">
        <v>132</v>
      </c>
      <c r="B32" s="50" t="s">
        <v>133</v>
      </c>
      <c r="C32" s="51" t="s">
        <v>74</v>
      </c>
      <c r="D32" s="51" t="s">
        <v>74</v>
      </c>
      <c r="E32" s="9" t="s">
        <v>17</v>
      </c>
      <c r="F32" s="52" t="s">
        <v>124</v>
      </c>
      <c r="G32" s="53" t="str">
        <f>HYPERLINK("https://practice.geeksforgeeks.org/problems/max-sum-subarray-of-size-k5313/1","Max Sum Subarray of Size K")</f>
        <v>Max Sum Subarray of Size K</v>
      </c>
      <c r="H32" s="51" t="s">
        <v>120</v>
      </c>
    </row>
    <row r="33" ht="19.5" customHeight="1">
      <c r="A33" s="38"/>
      <c r="B33" s="38"/>
      <c r="C33" s="51" t="s">
        <v>74</v>
      </c>
      <c r="D33" s="51" t="s">
        <v>74</v>
      </c>
      <c r="E33" s="21" t="s">
        <v>24</v>
      </c>
      <c r="F33" s="52" t="s">
        <v>124</v>
      </c>
      <c r="G33" s="53" t="str">
        <f>HYPERLINK("https://practice.geeksforgeeks.org/problems/first-negative-in-every-window-of-size-k3345/1","First Negative in Every Window")</f>
        <v>First Negative in Every Window</v>
      </c>
      <c r="H33" s="51" t="s">
        <v>121</v>
      </c>
    </row>
    <row r="34" ht="19.5" customHeight="1">
      <c r="A34" s="38"/>
      <c r="B34" s="38"/>
      <c r="C34" s="51" t="s">
        <v>86</v>
      </c>
      <c r="D34" s="51" t="s">
        <v>119</v>
      </c>
      <c r="E34" s="9" t="s">
        <v>17</v>
      </c>
      <c r="F34" s="52" t="s">
        <v>124</v>
      </c>
      <c r="G34" s="53" t="str">
        <f>HYPERLINK("https://leetcode.com/problems/maximum-average-subarray-i/","Maximum Average Subarray I")</f>
        <v>Maximum Average Subarray I</v>
      </c>
      <c r="H34" s="51" t="s">
        <v>120</v>
      </c>
    </row>
    <row r="35" ht="19.5" customHeight="1">
      <c r="A35" s="38"/>
      <c r="B35" s="38"/>
      <c r="C35" s="51" t="s">
        <v>88</v>
      </c>
      <c r="D35" s="51" t="s">
        <v>119</v>
      </c>
      <c r="E35" s="21" t="s">
        <v>24</v>
      </c>
      <c r="F35" s="52" t="s">
        <v>124</v>
      </c>
      <c r="G35" s="53" t="str">
        <f>HYPERLINK("https://leetcode.com/problems/longest-substring-without-repeating-characters/","Longest Substring Without Repeating")</f>
        <v>Longest Substring Without Repeating</v>
      </c>
      <c r="H35" s="51" t="s">
        <v>121</v>
      </c>
    </row>
    <row r="36" ht="19.5" customHeight="1">
      <c r="A36" s="38"/>
      <c r="B36" s="38"/>
      <c r="C36" s="51" t="s">
        <v>91</v>
      </c>
      <c r="D36" s="51" t="s">
        <v>119</v>
      </c>
      <c r="E36" s="21" t="s">
        <v>24</v>
      </c>
      <c r="F36" s="52" t="s">
        <v>124</v>
      </c>
      <c r="G36" s="53" t="str">
        <f>HYPERLINK("https://leetcode.com/problems/minimum-size-subarray-sum/","Minimum Size Subarray Sum")</f>
        <v>Minimum Size Subarray Sum</v>
      </c>
      <c r="H36" s="51" t="s">
        <v>121</v>
      </c>
    </row>
    <row r="37" ht="19.5" customHeight="1">
      <c r="A37" s="39"/>
      <c r="B37" s="39"/>
      <c r="C37" s="51" t="s">
        <v>93</v>
      </c>
      <c r="D37" s="51" t="s">
        <v>119</v>
      </c>
      <c r="E37" s="21" t="s">
        <v>24</v>
      </c>
      <c r="F37" s="52" t="s">
        <v>124</v>
      </c>
      <c r="G37" s="53" t="str">
        <f>HYPERLINK("https://leetcode.com/problems/fruit-into-baskets/","Fruit Into Baskets")</f>
        <v>Fruit Into Baskets</v>
      </c>
      <c r="H37" s="51" t="s">
        <v>121</v>
      </c>
    </row>
    <row r="38" ht="4.5" customHeight="1">
      <c r="A38" s="40"/>
      <c r="B38" s="41"/>
      <c r="C38" s="41"/>
      <c r="D38" s="41"/>
      <c r="E38" s="41"/>
      <c r="F38" s="41"/>
      <c r="G38" s="41"/>
      <c r="H38" s="42"/>
    </row>
    <row r="39" ht="19.5" customHeight="1">
      <c r="A39" s="49" t="s">
        <v>134</v>
      </c>
      <c r="B39" s="50" t="s">
        <v>135</v>
      </c>
      <c r="C39" s="51" t="s">
        <v>95</v>
      </c>
      <c r="D39" s="51" t="s">
        <v>119</v>
      </c>
      <c r="E39" s="21" t="s">
        <v>24</v>
      </c>
      <c r="F39" s="52" t="s">
        <v>124</v>
      </c>
      <c r="G39" s="53" t="str">
        <f>HYPERLINK("https://leetcode.com/problems/permutation-in-string/","Permutation in String")</f>
        <v>Permutation in String</v>
      </c>
      <c r="H39" s="51" t="s">
        <v>121</v>
      </c>
    </row>
    <row r="40" ht="19.5" customHeight="1">
      <c r="A40" s="38"/>
      <c r="B40" s="38"/>
      <c r="C40" s="51" t="s">
        <v>98</v>
      </c>
      <c r="D40" s="51" t="s">
        <v>119</v>
      </c>
      <c r="E40" s="21" t="s">
        <v>24</v>
      </c>
      <c r="F40" s="52" t="s">
        <v>124</v>
      </c>
      <c r="G40" s="53" t="str">
        <f>HYPERLINK("https://leetcode.com/problems/find-all-anagrams-in-a-string/","Find All Anagrams in a String")</f>
        <v>Find All Anagrams in a String</v>
      </c>
      <c r="H40" s="51" t="s">
        <v>121</v>
      </c>
    </row>
    <row r="41" ht="19.5" customHeight="1">
      <c r="A41" s="38"/>
      <c r="B41" s="38"/>
      <c r="C41" s="51" t="s">
        <v>100</v>
      </c>
      <c r="D41" s="51" t="s">
        <v>119</v>
      </c>
      <c r="E41" s="21" t="s">
        <v>24</v>
      </c>
      <c r="F41" s="52" t="s">
        <v>124</v>
      </c>
      <c r="G41" s="53" t="str">
        <f>HYPERLINK("https://leetcode.com/problems/longest-substring-with-at-most-k-distinct-characters/","Longest Substring At Most K Distinct")</f>
        <v>Longest Substring At Most K Distinct</v>
      </c>
      <c r="H41" s="51" t="s">
        <v>121</v>
      </c>
    </row>
    <row r="42" ht="19.5" customHeight="1">
      <c r="A42" s="38"/>
      <c r="B42" s="38"/>
      <c r="C42" s="51" t="s">
        <v>103</v>
      </c>
      <c r="D42" s="51" t="s">
        <v>119</v>
      </c>
      <c r="E42" s="21" t="s">
        <v>24</v>
      </c>
      <c r="F42" s="52" t="s">
        <v>124</v>
      </c>
      <c r="G42" s="53" t="str">
        <f>HYPERLINK("https://leetcode.com/problems/longest-repeating-character-replacement/","Longest Repeating Char Replacement")</f>
        <v>Longest Repeating Char Replacement</v>
      </c>
      <c r="H42" s="51" t="s">
        <v>121</v>
      </c>
    </row>
    <row r="43" ht="19.5" customHeight="1">
      <c r="A43" s="38"/>
      <c r="B43" s="38"/>
      <c r="C43" s="51" t="s">
        <v>105</v>
      </c>
      <c r="D43" s="51" t="s">
        <v>119</v>
      </c>
      <c r="E43" s="21" t="s">
        <v>24</v>
      </c>
      <c r="F43" s="52" t="s">
        <v>124</v>
      </c>
      <c r="G43" s="53" t="str">
        <f>HYPERLINK("https://leetcode.com/problems/max-consecutive-ones-iii/","Max Consecutive Ones III")</f>
        <v>Max Consecutive Ones III</v>
      </c>
      <c r="H43" s="51" t="s">
        <v>121</v>
      </c>
    </row>
    <row r="44" ht="19.5" customHeight="1">
      <c r="A44" s="38"/>
      <c r="B44" s="38"/>
      <c r="C44" s="51" t="s">
        <v>107</v>
      </c>
      <c r="D44" s="51" t="s">
        <v>119</v>
      </c>
      <c r="E44" s="25" t="s">
        <v>49</v>
      </c>
      <c r="F44" s="52" t="s">
        <v>124</v>
      </c>
      <c r="G44" s="53" t="str">
        <f>HYPERLINK("https://leetcode.com/problems/minimum-window-substring/","Minimum Window Substring")</f>
        <v>Minimum Window Substring</v>
      </c>
      <c r="H44" s="51" t="s">
        <v>127</v>
      </c>
    </row>
    <row r="45" ht="19.5" customHeight="1">
      <c r="A45" s="39"/>
      <c r="B45" s="39"/>
      <c r="C45" s="51" t="s">
        <v>109</v>
      </c>
      <c r="D45" s="51" t="s">
        <v>119</v>
      </c>
      <c r="E45" s="25" t="s">
        <v>49</v>
      </c>
      <c r="F45" s="52" t="s">
        <v>124</v>
      </c>
      <c r="G45" s="53" t="str">
        <f>HYPERLINK("https://leetcode.com/problems/sliding-window-maximum/","Sliding Window Maximum")</f>
        <v>Sliding Window Maximum</v>
      </c>
      <c r="H45" s="51" t="s">
        <v>127</v>
      </c>
    </row>
    <row r="46" ht="4.5" customHeight="1">
      <c r="A46" s="40"/>
      <c r="B46" s="41"/>
      <c r="C46" s="41"/>
      <c r="D46" s="41"/>
      <c r="E46" s="41"/>
      <c r="F46" s="41"/>
      <c r="G46" s="41"/>
      <c r="H46" s="42"/>
    </row>
    <row r="47" ht="25.5" customHeight="1">
      <c r="A47" s="54" t="s">
        <v>136</v>
      </c>
      <c r="B47" s="2"/>
      <c r="C47" s="2"/>
      <c r="D47" s="2"/>
      <c r="E47" s="2"/>
      <c r="F47" s="2"/>
      <c r="G47" s="2"/>
      <c r="H47" s="3"/>
    </row>
    <row r="48" ht="4.5" customHeight="1"/>
    <row r="49" ht="25.5" customHeight="1">
      <c r="A49" s="54" t="s">
        <v>137</v>
      </c>
      <c r="B49" s="2"/>
      <c r="C49" s="2"/>
      <c r="D49" s="2"/>
      <c r="E49" s="2"/>
      <c r="F49" s="2"/>
      <c r="G49" s="2"/>
      <c r="H49" s="3"/>
    </row>
    <row r="50" ht="4.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H1"/>
    <mergeCell ref="A3:A7"/>
    <mergeCell ref="B3:B7"/>
    <mergeCell ref="A8:H8"/>
    <mergeCell ref="A9:A13"/>
    <mergeCell ref="B9:B13"/>
    <mergeCell ref="A14:H14"/>
    <mergeCell ref="A15:A18"/>
    <mergeCell ref="B15:B18"/>
    <mergeCell ref="A19:H19"/>
    <mergeCell ref="A20:A24"/>
    <mergeCell ref="B20:B24"/>
    <mergeCell ref="A25:H25"/>
    <mergeCell ref="A26:A30"/>
    <mergeCell ref="A46:H46"/>
    <mergeCell ref="A47:H47"/>
    <mergeCell ref="A49:H49"/>
    <mergeCell ref="B26:B30"/>
    <mergeCell ref="A31:H31"/>
    <mergeCell ref="A32:A37"/>
    <mergeCell ref="B32:B37"/>
    <mergeCell ref="A38:H38"/>
    <mergeCell ref="A39:A45"/>
    <mergeCell ref="B39:B4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5" width="16.0"/>
    <col customWidth="1" min="6" max="6" width="3.0"/>
    <col customWidth="1" min="7" max="7" width="24.0"/>
    <col customWidth="1" min="8" max="10" width="14.0"/>
    <col customWidth="1" min="11" max="26" width="8.71"/>
  </cols>
  <sheetData>
    <row r="1" ht="36.0" customHeight="1">
      <c r="B1" s="55" t="s">
        <v>138</v>
      </c>
      <c r="C1" s="2"/>
      <c r="D1" s="2"/>
      <c r="E1" s="2"/>
      <c r="F1" s="2"/>
      <c r="G1" s="2"/>
      <c r="H1" s="2"/>
      <c r="I1" s="2"/>
      <c r="J1" s="3"/>
    </row>
    <row r="3" ht="21.75" customHeight="1">
      <c r="B3" s="56" t="s">
        <v>139</v>
      </c>
      <c r="C3" s="2"/>
      <c r="D3" s="2"/>
      <c r="E3" s="3"/>
    </row>
    <row r="4" ht="19.5" customHeight="1">
      <c r="B4" s="57" t="s">
        <v>140</v>
      </c>
      <c r="C4" s="58">
        <v>37.0</v>
      </c>
      <c r="D4" s="59"/>
      <c r="E4" s="59"/>
    </row>
    <row r="5" ht="19.5" customHeight="1">
      <c r="B5" s="57" t="s">
        <v>141</v>
      </c>
      <c r="C5" s="60">
        <f>COUNTIF('📋 Problem List'!H3:H39,"Done")</f>
        <v>5</v>
      </c>
      <c r="D5" s="59"/>
      <c r="E5" s="59"/>
    </row>
    <row r="6" ht="19.5" customHeight="1">
      <c r="B6" s="57" t="s">
        <v>142</v>
      </c>
      <c r="C6" s="61">
        <f>COUNTIF('📋 Problem List'!H3:H39,"In Progress")</f>
        <v>0</v>
      </c>
      <c r="D6" s="59"/>
      <c r="E6" s="59"/>
    </row>
    <row r="7" ht="19.5" customHeight="1">
      <c r="B7" s="57" t="s">
        <v>143</v>
      </c>
      <c r="C7" s="62">
        <f>COUNTIF('📋 Problem List'!H3:H39,"Need Review")</f>
        <v>0</v>
      </c>
      <c r="D7" s="59"/>
      <c r="E7" s="59"/>
    </row>
    <row r="8" ht="19.5" customHeight="1">
      <c r="B8" s="57" t="s">
        <v>144</v>
      </c>
      <c r="C8" s="63">
        <f>COUNTIF('📋 Problem List'!H3:H39,"To Do")</f>
        <v>32</v>
      </c>
      <c r="D8" s="59"/>
      <c r="E8" s="59"/>
    </row>
    <row r="9" ht="27.75" customHeight="1">
      <c r="B9" s="64" t="s">
        <v>145</v>
      </c>
      <c r="C9" s="65">
        <f>C5/37</f>
        <v>0.1351351351</v>
      </c>
      <c r="D9" s="2"/>
      <c r="E9" s="3"/>
    </row>
    <row r="11" ht="21.75" customHeight="1">
      <c r="B11" s="66" t="s">
        <v>146</v>
      </c>
      <c r="C11" s="2"/>
      <c r="D11" s="2"/>
      <c r="E11" s="3"/>
    </row>
    <row r="12" ht="21.75" customHeight="1">
      <c r="B12" s="67" t="s">
        <v>6</v>
      </c>
      <c r="C12" s="67" t="s">
        <v>147</v>
      </c>
      <c r="D12" s="67" t="s">
        <v>18</v>
      </c>
      <c r="E12" s="67" t="s">
        <v>148</v>
      </c>
    </row>
    <row r="13" ht="19.5" customHeight="1">
      <c r="B13" s="68" t="s">
        <v>149</v>
      </c>
      <c r="C13" s="69">
        <v>11.0</v>
      </c>
      <c r="D13" s="70">
        <f>COUNTIFS('📋 Problem List'!H3:H39,"Done",'📋 Problem List'!F3:F39,"Easy")</f>
        <v>4</v>
      </c>
      <c r="E13" s="71">
        <f t="shared" ref="E13:E15" si="1">IF(C13=0,0,D13/C13)</f>
        <v>0.3636363636</v>
      </c>
    </row>
    <row r="14" ht="19.5" customHeight="1">
      <c r="B14" s="72" t="s">
        <v>150</v>
      </c>
      <c r="C14" s="73">
        <v>23.0</v>
      </c>
      <c r="D14" s="74">
        <f>COUNTIFS('📋 Problem List'!H3:H39,"Done",'📋 Problem List'!F3:F39,"Medium")</f>
        <v>1</v>
      </c>
      <c r="E14" s="75">
        <f t="shared" si="1"/>
        <v>0.04347826087</v>
      </c>
    </row>
    <row r="15" ht="19.5" customHeight="1">
      <c r="B15" s="76" t="s">
        <v>151</v>
      </c>
      <c r="C15" s="77">
        <v>3.0</v>
      </c>
      <c r="D15" s="78">
        <f>COUNTIFS('📋 Problem List'!H3:H39,"Done",'📋 Problem List'!F3:F39,"Hard")</f>
        <v>0</v>
      </c>
      <c r="E15" s="79">
        <f t="shared" si="1"/>
        <v>0</v>
      </c>
    </row>
    <row r="17" ht="21.75" customHeight="1">
      <c r="B17" s="80" t="s">
        <v>152</v>
      </c>
      <c r="C17" s="2"/>
      <c r="D17" s="2"/>
      <c r="E17" s="3"/>
    </row>
    <row r="18" ht="21.75" customHeight="1">
      <c r="B18" s="81" t="s">
        <v>4</v>
      </c>
      <c r="C18" s="81" t="s">
        <v>147</v>
      </c>
      <c r="D18" s="81" t="s">
        <v>18</v>
      </c>
      <c r="E18" s="81" t="s">
        <v>148</v>
      </c>
    </row>
    <row r="19" ht="19.5" customHeight="1">
      <c r="B19" s="82" t="s">
        <v>153</v>
      </c>
      <c r="C19" s="83">
        <v>14.0</v>
      </c>
      <c r="D19" s="84">
        <f>COUNTIFS('📋 Problem List'!H3:H39,"Done",'📋 Problem List'!D3:D39,"Two Pointers")</f>
        <v>5</v>
      </c>
      <c r="E19" s="85">
        <f t="shared" ref="E19:E21" si="2">IF(C19=0,0,D19/C19)</f>
        <v>0.3571428571</v>
      </c>
    </row>
    <row r="20" ht="19.5" customHeight="1">
      <c r="B20" s="86" t="s">
        <v>154</v>
      </c>
      <c r="C20" s="87">
        <v>10.0</v>
      </c>
      <c r="D20" s="88">
        <f>COUNTIFS('📋 Problem List'!H3:H39,"Done",'📋 Problem List'!D3:D39,"Prefix Sum")</f>
        <v>0</v>
      </c>
      <c r="E20" s="89">
        <f t="shared" si="2"/>
        <v>0</v>
      </c>
    </row>
    <row r="21" ht="19.5" customHeight="1">
      <c r="B21" s="90" t="s">
        <v>155</v>
      </c>
      <c r="C21" s="91">
        <v>13.0</v>
      </c>
      <c r="D21" s="92">
        <f>COUNTIFS('📋 Problem List'!H3:H39,"Done",'📋 Problem List'!D3:D39,"Sliding Window")</f>
        <v>0</v>
      </c>
      <c r="E21" s="93">
        <f t="shared" si="2"/>
        <v>0</v>
      </c>
    </row>
    <row r="22" ht="15.75" customHeight="1"/>
    <row r="23" ht="21.75" customHeight="1">
      <c r="B23" s="94" t="s">
        <v>156</v>
      </c>
      <c r="C23" s="2"/>
      <c r="D23" s="2"/>
      <c r="E23" s="3"/>
    </row>
    <row r="24" ht="21.75" customHeight="1">
      <c r="B24" s="95" t="s">
        <v>7</v>
      </c>
      <c r="C24" s="95" t="s">
        <v>157</v>
      </c>
      <c r="D24" s="95" t="s">
        <v>147</v>
      </c>
      <c r="E24" s="95" t="s">
        <v>18</v>
      </c>
    </row>
    <row r="25" ht="18.0" customHeight="1">
      <c r="B25" s="15" t="s">
        <v>158</v>
      </c>
      <c r="C25" s="16" t="s">
        <v>159</v>
      </c>
      <c r="D25" s="17">
        <v>5.0</v>
      </c>
      <c r="E25" s="20">
        <f>COUNTIFS('📋 Problem List'!H3:H39,"Done",'📋 Problem List'!G3:G39,1)</f>
        <v>5</v>
      </c>
    </row>
    <row r="26" ht="18.0" customHeight="1">
      <c r="B26" s="5" t="s">
        <v>160</v>
      </c>
      <c r="C26" s="6" t="s">
        <v>161</v>
      </c>
      <c r="D26" s="7">
        <v>5.0</v>
      </c>
      <c r="E26" s="14">
        <f>COUNTIFS('📋 Problem List'!H3:H39,"Done",'📋 Problem List'!G3:G39,2)</f>
        <v>0</v>
      </c>
    </row>
    <row r="27" ht="18.0" customHeight="1">
      <c r="B27" s="15" t="s">
        <v>162</v>
      </c>
      <c r="C27" s="16" t="s">
        <v>163</v>
      </c>
      <c r="D27" s="17">
        <v>4.0</v>
      </c>
      <c r="E27" s="20">
        <f>COUNTIFS('📋 Problem List'!H3:H39,"Done",'📋 Problem List'!G3:G39,3)</f>
        <v>0</v>
      </c>
    </row>
    <row r="28" ht="18.0" customHeight="1">
      <c r="B28" s="5" t="s">
        <v>164</v>
      </c>
      <c r="C28" s="6" t="s">
        <v>165</v>
      </c>
      <c r="D28" s="7">
        <v>5.0</v>
      </c>
      <c r="E28" s="14">
        <f>COUNTIFS('📋 Problem List'!H3:H39,"Done",'📋 Problem List'!G3:G39,4)</f>
        <v>0</v>
      </c>
    </row>
    <row r="29" ht="18.0" customHeight="1">
      <c r="B29" s="15" t="s">
        <v>166</v>
      </c>
      <c r="C29" s="16" t="s">
        <v>167</v>
      </c>
      <c r="D29" s="17">
        <v>5.0</v>
      </c>
      <c r="E29" s="20">
        <f>COUNTIFS('📋 Problem List'!H3:H39,"Done",'📋 Problem List'!G3:G39,5)</f>
        <v>0</v>
      </c>
    </row>
    <row r="30" ht="18.0" customHeight="1">
      <c r="B30" s="5" t="s">
        <v>168</v>
      </c>
      <c r="C30" s="6" t="s">
        <v>169</v>
      </c>
      <c r="D30" s="7">
        <v>6.0</v>
      </c>
      <c r="E30" s="14">
        <f>COUNTIFS('📋 Problem List'!H3:H39,"Done",'📋 Problem List'!G3:G39,6)</f>
        <v>0</v>
      </c>
    </row>
    <row r="31" ht="18.0" customHeight="1">
      <c r="B31" s="15" t="s">
        <v>170</v>
      </c>
      <c r="C31" s="16" t="s">
        <v>171</v>
      </c>
      <c r="D31" s="17">
        <v>7.0</v>
      </c>
      <c r="E31" s="20">
        <f>COUNTIFS('📋 Problem List'!H3:H39,"Done",'📋 Problem List'!G3:G39,7)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J1"/>
    <mergeCell ref="B3:E3"/>
    <mergeCell ref="C9:E9"/>
    <mergeCell ref="B11:E11"/>
    <mergeCell ref="B17:E17"/>
    <mergeCell ref="B23:E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8.0"/>
    <col customWidth="1" min="3" max="3" width="38.0"/>
    <col customWidth="1" min="4" max="26" width="8.71"/>
  </cols>
  <sheetData>
    <row r="1" ht="33.75" customHeight="1">
      <c r="B1" s="96" t="s">
        <v>172</v>
      </c>
      <c r="C1" s="3"/>
    </row>
    <row r="3" ht="24.0" customHeight="1">
      <c r="B3" s="56" t="s">
        <v>173</v>
      </c>
      <c r="C3" s="3"/>
    </row>
    <row r="4" ht="246.75" customHeight="1">
      <c r="B4" s="97" t="s">
        <v>174</v>
      </c>
      <c r="C4" s="98" t="s">
        <v>175</v>
      </c>
    </row>
    <row r="5" ht="4.5" customHeight="1"/>
    <row r="6" ht="24.0" customHeight="1">
      <c r="B6" s="56" t="s">
        <v>176</v>
      </c>
      <c r="C6" s="3"/>
    </row>
    <row r="7" ht="117.0" customHeight="1">
      <c r="B7" s="97" t="s">
        <v>177</v>
      </c>
      <c r="C7" s="98" t="s">
        <v>178</v>
      </c>
    </row>
    <row r="8" ht="4.5" customHeight="1"/>
    <row r="9" ht="24.0" customHeight="1">
      <c r="B9" s="56" t="s">
        <v>179</v>
      </c>
      <c r="C9" s="3"/>
    </row>
    <row r="10" ht="259.5" customHeight="1">
      <c r="B10" s="97" t="s">
        <v>180</v>
      </c>
      <c r="C10" s="98" t="s">
        <v>181</v>
      </c>
    </row>
    <row r="11" ht="4.5" customHeight="1"/>
    <row r="12" ht="24.0" customHeight="1">
      <c r="B12" s="99" t="s">
        <v>182</v>
      </c>
      <c r="C12" s="3"/>
    </row>
    <row r="13" ht="181.5" customHeight="1">
      <c r="B13" s="97" t="s">
        <v>183</v>
      </c>
      <c r="C13" s="98" t="s">
        <v>184</v>
      </c>
    </row>
    <row r="14" ht="4.5" customHeight="1"/>
    <row r="15" ht="24.0" customHeight="1">
      <c r="B15" s="99" t="s">
        <v>185</v>
      </c>
      <c r="C15" s="3"/>
    </row>
    <row r="16" ht="298.5" customHeight="1">
      <c r="B16" s="97" t="s">
        <v>186</v>
      </c>
      <c r="C16" s="98" t="s">
        <v>187</v>
      </c>
    </row>
    <row r="17" ht="4.5" customHeight="1"/>
    <row r="18" ht="24.0" customHeight="1">
      <c r="B18" s="99" t="s">
        <v>188</v>
      </c>
      <c r="C18" s="3"/>
    </row>
    <row r="19" ht="273.0" customHeight="1">
      <c r="B19" s="97" t="s">
        <v>189</v>
      </c>
      <c r="C19" s="98" t="s">
        <v>190</v>
      </c>
    </row>
    <row r="20" ht="4.5" customHeight="1"/>
    <row r="21" ht="24.0" customHeight="1">
      <c r="B21" s="99" t="s">
        <v>191</v>
      </c>
      <c r="C21" s="3"/>
    </row>
    <row r="22" ht="273.0" customHeight="1">
      <c r="B22" s="97" t="s">
        <v>192</v>
      </c>
      <c r="C22" s="98" t="s">
        <v>193</v>
      </c>
    </row>
    <row r="23" ht="4.5" customHeight="1"/>
    <row r="24" ht="24.0" customHeight="1">
      <c r="B24" s="80" t="s">
        <v>194</v>
      </c>
      <c r="C24" s="3"/>
    </row>
    <row r="25" ht="298.5" customHeight="1">
      <c r="B25" s="97" t="s">
        <v>195</v>
      </c>
      <c r="C25" s="98" t="s">
        <v>196</v>
      </c>
    </row>
    <row r="26" ht="4.5" customHeight="1"/>
    <row r="27" ht="24.0" customHeight="1">
      <c r="B27" s="80" t="s">
        <v>197</v>
      </c>
      <c r="C27" s="3"/>
    </row>
    <row r="28" ht="246.75" customHeight="1">
      <c r="B28" s="97" t="s">
        <v>198</v>
      </c>
      <c r="C28" s="98" t="s">
        <v>199</v>
      </c>
    </row>
    <row r="29" ht="4.5" customHeight="1"/>
    <row r="30" ht="24.0" customHeight="1">
      <c r="B30" s="80" t="s">
        <v>200</v>
      </c>
      <c r="C30" s="3"/>
    </row>
    <row r="31" ht="234.0" customHeight="1">
      <c r="B31" s="97" t="s">
        <v>201</v>
      </c>
      <c r="C31" s="98" t="s">
        <v>202</v>
      </c>
    </row>
    <row r="32" ht="4.5" customHeight="1"/>
    <row r="33" ht="24.0" customHeight="1">
      <c r="B33" s="80" t="s">
        <v>203</v>
      </c>
      <c r="C33" s="3"/>
    </row>
    <row r="34" ht="195.0" customHeight="1">
      <c r="B34" s="97" t="s">
        <v>204</v>
      </c>
      <c r="C34" s="98" t="s">
        <v>205</v>
      </c>
    </row>
    <row r="35" ht="4.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1:C21"/>
    <mergeCell ref="B24:C24"/>
    <mergeCell ref="B27:C27"/>
    <mergeCell ref="B30:C30"/>
    <mergeCell ref="B33:C33"/>
    <mergeCell ref="B1:C1"/>
    <mergeCell ref="B3:C3"/>
    <mergeCell ref="B6:C6"/>
    <mergeCell ref="B9:C9"/>
    <mergeCell ref="B12:C12"/>
    <mergeCell ref="B15:C15"/>
    <mergeCell ref="B18:C1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60.0"/>
    <col customWidth="1" min="4" max="26" width="8.71"/>
  </cols>
  <sheetData>
    <row r="1" ht="33.75" customHeight="1">
      <c r="B1" s="100" t="s">
        <v>206</v>
      </c>
      <c r="C1" s="3"/>
    </row>
    <row r="3" ht="25.5" customHeight="1">
      <c r="B3" s="101" t="s">
        <v>207</v>
      </c>
      <c r="C3" s="3"/>
    </row>
    <row r="4" ht="79.5" customHeight="1">
      <c r="B4" s="102" t="s">
        <v>208</v>
      </c>
      <c r="C4" s="103" t="s">
        <v>209</v>
      </c>
    </row>
    <row r="5" ht="79.5" customHeight="1">
      <c r="B5" s="102" t="s">
        <v>210</v>
      </c>
      <c r="C5" s="103" t="s">
        <v>211</v>
      </c>
    </row>
    <row r="6" ht="79.5" customHeight="1">
      <c r="B6" s="102" t="s">
        <v>212</v>
      </c>
      <c r="C6" s="103" t="s">
        <v>213</v>
      </c>
    </row>
    <row r="7" ht="6.0" customHeight="1"/>
    <row r="8" ht="25.5" customHeight="1">
      <c r="B8" s="104" t="s">
        <v>214</v>
      </c>
      <c r="C8" s="3"/>
    </row>
    <row r="9" ht="63.75" customHeight="1">
      <c r="B9" s="105" t="s">
        <v>215</v>
      </c>
      <c r="C9" s="103" t="s">
        <v>216</v>
      </c>
    </row>
    <row r="10" ht="63.75" customHeight="1">
      <c r="B10" s="105" t="s">
        <v>217</v>
      </c>
      <c r="C10" s="103" t="s">
        <v>218</v>
      </c>
    </row>
    <row r="11" ht="79.5" customHeight="1">
      <c r="B11" s="105" t="s">
        <v>219</v>
      </c>
      <c r="C11" s="103" t="s">
        <v>220</v>
      </c>
    </row>
    <row r="12" ht="6.0" customHeight="1"/>
    <row r="13" ht="25.5" customHeight="1">
      <c r="B13" s="106" t="s">
        <v>221</v>
      </c>
      <c r="C13" s="3"/>
    </row>
    <row r="14" ht="79.5" customHeight="1">
      <c r="B14" s="107" t="s">
        <v>222</v>
      </c>
      <c r="C14" s="103" t="s">
        <v>223</v>
      </c>
    </row>
    <row r="15" ht="79.5" customHeight="1">
      <c r="B15" s="107" t="s">
        <v>224</v>
      </c>
      <c r="C15" s="103" t="s">
        <v>225</v>
      </c>
    </row>
    <row r="16" ht="79.5" customHeight="1">
      <c r="B16" s="107" t="s">
        <v>226</v>
      </c>
      <c r="C16" s="103" t="s">
        <v>227</v>
      </c>
    </row>
    <row r="17" ht="6.0" customHeight="1"/>
    <row r="18" ht="25.5" customHeight="1">
      <c r="B18" s="108" t="s">
        <v>228</v>
      </c>
      <c r="C18" s="3"/>
    </row>
    <row r="19" ht="48.0" customHeight="1">
      <c r="B19" s="109" t="s">
        <v>15</v>
      </c>
      <c r="C19" s="103" t="s">
        <v>229</v>
      </c>
    </row>
    <row r="20" ht="48.0" customHeight="1">
      <c r="B20" s="109" t="s">
        <v>82</v>
      </c>
      <c r="C20" s="103" t="s">
        <v>230</v>
      </c>
    </row>
    <row r="21" ht="79.5" customHeight="1">
      <c r="B21" s="109" t="s">
        <v>57</v>
      </c>
      <c r="C21" s="103" t="s">
        <v>231</v>
      </c>
    </row>
    <row r="22" ht="6.0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B3:C3"/>
    <mergeCell ref="B8:C8"/>
    <mergeCell ref="B13:C13"/>
    <mergeCell ref="B18:C18"/>
  </mergeCells>
  <printOptions/>
  <pageMargins bottom="1.0" footer="0.0" header="0.0" left="0.75" right="0.75" top="1.0"/>
  <pageSetup paperSize="9" orientation="portrait"/>
  <drawing r:id="rId1"/>
</worksheet>
</file>